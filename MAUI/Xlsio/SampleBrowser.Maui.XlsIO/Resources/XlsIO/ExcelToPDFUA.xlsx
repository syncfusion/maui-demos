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5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6.xml" ContentType="application/vnd.openxmlformats-officedocument.drawing+xml"/>
  <Override PartName="/xl/charts/chartEx2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7.xml" ContentType="application/vnd.openxmlformats-officedocument.drawing+xml"/>
  <Override PartName="/xl/charts/chart3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8.xml" ContentType="application/vnd.openxmlformats-officedocument.drawing+xml"/>
  <Override PartName="/xl/charts/chartEx3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drawings/drawing9.xml" ContentType="application/vnd.openxmlformats-officedocument.drawing+xml"/>
  <Override PartName="/xl/charts/chartEx4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drawings/drawing10.xml" ContentType="application/vnd.openxmlformats-officedocument.drawing+xml"/>
  <Override PartName="/xl/charts/chart4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D:\EssentialStudio\xlsio_Cake\Maui\SB\SampleBrowser.Maui.XlsIO\Resources\XlsIO\"/>
    </mc:Choice>
  </mc:AlternateContent>
  <xr:revisionPtr revIDLastSave="0" documentId="13_ncr:1_{8B639B84-85B2-4884-821F-63CEB25C82E5}" xr6:coauthVersionLast="47" xr6:coauthVersionMax="47" xr10:uidLastSave="{00000000-0000-0000-0000-000000000000}"/>
  <bookViews>
    <workbookView xWindow="-108" yWindow="-108" windowWidth="23256" windowHeight="12456" firstSheet="4" activeTab="10" xr2:uid="{00000000-000D-0000-FFFF-FFFF00000000}"/>
  </bookViews>
  <sheets>
    <sheet name="Data" sheetId="5" r:id="rId1"/>
    <sheet name="PivotTable" sheetId="12" r:id="rId2"/>
    <sheet name="Auto Shapes" sheetId="22" r:id="rId3"/>
    <sheet name="Chart" sheetId="15" r:id="rId4"/>
    <sheet name="Stock chart" sheetId="24" r:id="rId5"/>
    <sheet name="SunBurst" sheetId="25" r:id="rId6"/>
    <sheet name="BoxWhiskerChart" sheetId="26" r:id="rId7"/>
    <sheet name="PieOfPie" sheetId="27" r:id="rId8"/>
    <sheet name="Waterfall" sheetId="28" r:id="rId9"/>
    <sheet name="Tree Map" sheetId="29" r:id="rId10"/>
    <sheet name="BarOfPie" sheetId="31" r:id="rId11"/>
    <sheet name="EMF image" sheetId="23" r:id="rId12"/>
  </sheets>
  <externalReferences>
    <externalReference r:id="rId13"/>
  </externalReferences>
  <definedNames>
    <definedName name="__IntlFixup" hidden="1">TRUE</definedName>
    <definedName name="_1FLOW">#REF!</definedName>
    <definedName name="_Order1" hidden="1">0</definedName>
    <definedName name="_xlchart.v1.0" hidden="1">SunBurst!$A$3:$B$13</definedName>
    <definedName name="_xlchart.v1.1" hidden="1">SunBurst!$C$2</definedName>
    <definedName name="_xlchart.v1.10" hidden="1">BoxWhiskerChart!$E$3:$E$15</definedName>
    <definedName name="_xlchart.v1.11" hidden="1">Waterfall!$A$3:$A$8</definedName>
    <definedName name="_xlchart.v1.12" hidden="1">Waterfall!$B$3:$B$8</definedName>
    <definedName name="_xlchart.v1.13" hidden="1">'Tree Map'!$A$3:$B$14</definedName>
    <definedName name="_xlchart.v1.14" hidden="1">'Tree Map'!$C$2</definedName>
    <definedName name="_xlchart.v1.15" hidden="1">'Tree Map'!$C$3:$C$14</definedName>
    <definedName name="_xlchart.v1.2" hidden="1">SunBurst!$C$3:$C$13</definedName>
    <definedName name="_xlchart.v1.3" hidden="1">BoxWhiskerChart!$B$2</definedName>
    <definedName name="_xlchart.v1.4" hidden="1">BoxWhiskerChart!$B$3:$B$15</definedName>
    <definedName name="_xlchart.v1.5" hidden="1">BoxWhiskerChart!$C$2</definedName>
    <definedName name="_xlchart.v1.6" hidden="1">BoxWhiskerChart!$C$3:$C$15</definedName>
    <definedName name="_xlchart.v1.7" hidden="1">BoxWhiskerChart!$D$2</definedName>
    <definedName name="_xlchart.v1.8" hidden="1">BoxWhiskerChart!$D$3:$D$15</definedName>
    <definedName name="_xlchart.v1.9" hidden="1">BoxWhiskerChart!$E$2</definedName>
    <definedName name="Data.Dump" localSheetId="10" hidden="1">OFFSET(Data.Top.Left,1,0)</definedName>
    <definedName name="Data.Dump" localSheetId="11" hidden="1">OFFSET(Data.Top.Left,1,0)</definedName>
    <definedName name="Data.Dump" hidden="1">OFFSET(Data.Top.Left,1,0)</definedName>
    <definedName name="HTML_CodePage" hidden="1">1252</definedName>
    <definedName name="HTML_Control" localSheetId="10" hidden="1">{"'Leverage'!$B$2:$M$418"}</definedName>
    <definedName name="HTML_Control" localSheetId="11" hidden="1">{"'Leverage'!$B$2:$M$418"}</definedName>
    <definedName name="HTML_Control" hidden="1">{"'Leverage'!$B$2:$M$418"}</definedName>
    <definedName name="HTML_Description" hidden="1">""</definedName>
    <definedName name="HTML_Email" hidden="1">""</definedName>
    <definedName name="HTML_Header" hidden="1">"Leverage"</definedName>
    <definedName name="HTML_LastUpdate" hidden="1">"8/21/00"</definedName>
    <definedName name="HTML_LineAfter" hidden="1">FALSE</definedName>
    <definedName name="HTML_LineBefore" hidden="1">FALSE</definedName>
    <definedName name="HTML_Name" hidden="1">"Frank Vickers"</definedName>
    <definedName name="HTML_OBDlg2" hidden="1">TRUE</definedName>
    <definedName name="HTML_OBDlg4" hidden="1">TRUE</definedName>
    <definedName name="HTML_OS" hidden="1">0</definedName>
    <definedName name="HTML_PathFile" hidden="1">"C:\my documents\lever.htm"</definedName>
    <definedName name="HTML_Title" hidden="1">"leverage"</definedName>
    <definedName name="Macro1" localSheetId="10">BarOfPie!Macro1</definedName>
    <definedName name="Macro1" localSheetId="11">'EMF image'!Macro1</definedName>
    <definedName name="Macro1">Macro1</definedName>
    <definedName name="Macro2" localSheetId="10">BarOfPie!Macro2</definedName>
    <definedName name="Macro2" localSheetId="11">'EMF image'!Macro2</definedName>
    <definedName name="Macro2">Macro2</definedName>
    <definedName name="Ownership" localSheetId="10" hidden="1">OFFSET(Data.Top.Left,1,0)</definedName>
    <definedName name="Ownership" localSheetId="11" hidden="1">OFFSET(Data.Top.Left,1,0)</definedName>
    <definedName name="Ownership" hidden="1">OFFSET(Data.Top.Left,1,0)</definedName>
    <definedName name="_xlnm.Print_Titles" localSheetId="0">Data!$6:$6</definedName>
  </definedNames>
  <calcPr calcId="191029"/>
  <pivotCaches>
    <pivotCache cacheId="0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9" i="5" l="1"/>
  <c r="H35" i="5"/>
  <c r="B35" i="5"/>
  <c r="H34" i="5"/>
  <c r="B34" i="5"/>
  <c r="H33" i="5"/>
  <c r="B33" i="5"/>
  <c r="H32" i="5"/>
  <c r="B32" i="5"/>
  <c r="H31" i="5"/>
  <c r="B31" i="5"/>
  <c r="H30" i="5"/>
  <c r="B30" i="5"/>
  <c r="H29" i="5"/>
  <c r="B29" i="5"/>
  <c r="H28" i="5"/>
  <c r="B28" i="5"/>
  <c r="H27" i="5"/>
  <c r="B27" i="5"/>
  <c r="H26" i="5"/>
  <c r="B26" i="5"/>
  <c r="H25" i="5"/>
  <c r="B25" i="5"/>
  <c r="H24" i="5"/>
  <c r="B24" i="5"/>
  <c r="H23" i="5"/>
  <c r="B23" i="5"/>
  <c r="H22" i="5"/>
  <c r="B22" i="5"/>
  <c r="H21" i="5"/>
  <c r="B21" i="5"/>
  <c r="H20" i="5"/>
  <c r="B20" i="5"/>
  <c r="H19" i="5"/>
  <c r="B19" i="5"/>
  <c r="H18" i="5"/>
  <c r="B18" i="5"/>
  <c r="H17" i="5"/>
  <c r="B17" i="5"/>
  <c r="H16" i="5"/>
  <c r="B16" i="5"/>
  <c r="H15" i="5"/>
  <c r="B15" i="5"/>
  <c r="H14" i="5"/>
  <c r="B14" i="5"/>
  <c r="H13" i="5"/>
  <c r="B13" i="5"/>
  <c r="H12" i="5"/>
  <c r="B12" i="5"/>
  <c r="H11" i="5"/>
  <c r="B11" i="5"/>
  <c r="H10" i="5"/>
  <c r="B10" i="5"/>
  <c r="B9" i="5"/>
  <c r="H8" i="5"/>
  <c r="B8" i="5"/>
  <c r="H7" i="5"/>
  <c r="B7" i="5"/>
</calcChain>
</file>

<file path=xl/sharedStrings.xml><?xml version="1.0" encoding="utf-8"?>
<sst xmlns="http://schemas.openxmlformats.org/spreadsheetml/2006/main" count="241" uniqueCount="126">
  <si>
    <t>Date</t>
  </si>
  <si>
    <t>Weekday</t>
  </si>
  <si>
    <t>Region</t>
  </si>
  <si>
    <t>Employee</t>
  </si>
  <si>
    <t>Item</t>
  </si>
  <si>
    <t>Units</t>
  </si>
  <si>
    <t>Unit Cost</t>
  </si>
  <si>
    <t>Total</t>
  </si>
  <si>
    <t>Central</t>
  </si>
  <si>
    <t>Jones</t>
  </si>
  <si>
    <t>Pen Set</t>
  </si>
  <si>
    <t>West</t>
  </si>
  <si>
    <t>Kivell</t>
  </si>
  <si>
    <t>Binder</t>
  </si>
  <si>
    <t>Howard</t>
  </si>
  <si>
    <t>Pen &amp; Pencil</t>
  </si>
  <si>
    <t>East</t>
  </si>
  <si>
    <t>Gill</t>
  </si>
  <si>
    <t>Pen</t>
  </si>
  <si>
    <t>Anderson</t>
  </si>
  <si>
    <t>Wilson</t>
  </si>
  <si>
    <t>Paper</t>
  </si>
  <si>
    <t>Desk</t>
  </si>
  <si>
    <t>Parent</t>
  </si>
  <si>
    <t>Smith</t>
  </si>
  <si>
    <t>Row Labels</t>
  </si>
  <si>
    <t>Grand Total</t>
  </si>
  <si>
    <t>Column Labels</t>
  </si>
  <si>
    <t>Sum of Units</t>
  </si>
  <si>
    <t>Pivot Table</t>
  </si>
  <si>
    <t>Monthly Expense</t>
  </si>
  <si>
    <t>Projected</t>
  </si>
  <si>
    <t>Actual</t>
  </si>
  <si>
    <t>Variance</t>
  </si>
  <si>
    <t>Groceries</t>
  </si>
  <si>
    <t>Telephone</t>
  </si>
  <si>
    <t>Water</t>
  </si>
  <si>
    <t>Electric</t>
  </si>
  <si>
    <t>Cable TV</t>
  </si>
  <si>
    <t>Internet</t>
  </si>
  <si>
    <t>Maintenance</t>
  </si>
  <si>
    <t>Childcare</t>
  </si>
  <si>
    <t>Tuition</t>
  </si>
  <si>
    <t>Pets</t>
  </si>
  <si>
    <t>Transportation</t>
  </si>
  <si>
    <t>Personal Care</t>
  </si>
  <si>
    <t>Insurance</t>
  </si>
  <si>
    <t>Credit Cards</t>
  </si>
  <si>
    <t>Savings</t>
  </si>
  <si>
    <t>Other</t>
  </si>
  <si>
    <t>Name</t>
  </si>
  <si>
    <t>Family Budget</t>
  </si>
  <si>
    <t>February</t>
  </si>
  <si>
    <t xml:space="preserve">Daily Stock Value </t>
  </si>
  <si>
    <t xml:space="preserve">Volume traded </t>
  </si>
  <si>
    <t>High Price (in $)</t>
  </si>
  <si>
    <t>Low Price(in $)</t>
  </si>
  <si>
    <t>Close Price(in $)</t>
  </si>
  <si>
    <t>Jeans</t>
  </si>
  <si>
    <t>Fashion</t>
  </si>
  <si>
    <t>Shoes</t>
  </si>
  <si>
    <t>Drama</t>
  </si>
  <si>
    <t>Books</t>
  </si>
  <si>
    <t>Sci-Fi</t>
  </si>
  <si>
    <t>Fiction</t>
  </si>
  <si>
    <t>Watch</t>
  </si>
  <si>
    <t>Tech</t>
  </si>
  <si>
    <t>Earbuds</t>
  </si>
  <si>
    <t>Phone</t>
  </si>
  <si>
    <t>Grains</t>
  </si>
  <si>
    <t>Food</t>
  </si>
  <si>
    <t>Dairy</t>
  </si>
  <si>
    <t>Fruits</t>
  </si>
  <si>
    <t>Amount ($)</t>
  </si>
  <si>
    <t>Category</t>
  </si>
  <si>
    <t>Category Value Report</t>
  </si>
  <si>
    <t>SF Vehicles</t>
  </si>
  <si>
    <t>Elite Drive</t>
  </si>
  <si>
    <t>Noble Auto</t>
  </si>
  <si>
    <t>Star Motors</t>
  </si>
  <si>
    <t>Year</t>
  </si>
  <si>
    <t>Car sales report</t>
  </si>
  <si>
    <t>Office Supplies</t>
  </si>
  <si>
    <t>Training</t>
  </si>
  <si>
    <t>Travel</t>
  </si>
  <si>
    <t>Marketing</t>
  </si>
  <si>
    <t>Software</t>
  </si>
  <si>
    <t>Utilities</t>
  </si>
  <si>
    <t>Rent</t>
  </si>
  <si>
    <t>Monthly operating expenses</t>
  </si>
  <si>
    <t>June</t>
  </si>
  <si>
    <t>May</t>
  </si>
  <si>
    <t>April</t>
  </si>
  <si>
    <t>March</t>
  </si>
  <si>
    <t>January</t>
  </si>
  <si>
    <t>Revenue ($)</t>
  </si>
  <si>
    <t>Month</t>
  </si>
  <si>
    <t>Monthly Revenue Variations</t>
  </si>
  <si>
    <t>France</t>
  </si>
  <si>
    <t>Europe</t>
  </si>
  <si>
    <t>Germany</t>
  </si>
  <si>
    <t>Egypt</t>
  </si>
  <si>
    <t>Africa</t>
  </si>
  <si>
    <t>Nigeria</t>
  </si>
  <si>
    <t>Brazil</t>
  </si>
  <si>
    <t>South America</t>
  </si>
  <si>
    <t>Colombia</t>
  </si>
  <si>
    <t>Mexico</t>
  </si>
  <si>
    <t>North America</t>
  </si>
  <si>
    <t>Canada</t>
  </si>
  <si>
    <t>United States</t>
  </si>
  <si>
    <t>Korea</t>
  </si>
  <si>
    <t>Asia</t>
  </si>
  <si>
    <t>Russia</t>
  </si>
  <si>
    <t>Indonesia</t>
  </si>
  <si>
    <t>Population (millions)</t>
  </si>
  <si>
    <t>Country</t>
  </si>
  <si>
    <t>Continent</t>
  </si>
  <si>
    <t>Population Report</t>
  </si>
  <si>
    <t>Cash</t>
  </si>
  <si>
    <t>Degital wallet</t>
  </si>
  <si>
    <t>Debit card</t>
  </si>
  <si>
    <t>Credit card</t>
  </si>
  <si>
    <t>Cheque</t>
  </si>
  <si>
    <t>Payment type</t>
  </si>
  <si>
    <t>Transaction by payment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</si>
</sst>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5" formatCode="&quot;$&quot;#,##0_);\(&quot;$&quot;#,##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&quot;£&quot;* #,##0_-;\-&quot;£&quot;* #,##0_-;_-&quot;£&quot;* &quot;-&quot;_-;_-@_-"/>
    <numFmt numFmtId="165" formatCode="_-* #,##0_-;\-* #,##0_-;_-* &quot;-&quot;_-;_-@_-"/>
    <numFmt numFmtId="166" formatCode="_-&quot;£&quot;* #,##0.00_-;\-&quot;£&quot;* #,##0.00_-;_-&quot;£&quot;* &quot;-&quot;??_-;_-@_-"/>
    <numFmt numFmtId="167" formatCode="_-* #,##0.00_-;\-* #,##0.00_-;_-* &quot;-&quot;??_-;_-@_-"/>
    <numFmt numFmtId="168" formatCode="0.00%_);[Red]\(0.00%\)"/>
    <numFmt numFmtId="169" formatCode="0%_);[Red]\(0%\)"/>
    <numFmt numFmtId="170" formatCode="[$-409]d\-mmm\-yy;@"/>
  </numFmts>
  <fonts count="44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8"/>
      <name val="Tahoma"/>
      <family val="2"/>
    </font>
    <font>
      <sz val="8"/>
      <name val="Verdana"/>
      <family val="2"/>
    </font>
    <font>
      <sz val="10"/>
      <name val="Arial"/>
      <family val="2"/>
    </font>
    <font>
      <b/>
      <sz val="8"/>
      <color indexed="9"/>
      <name val="Tahoma"/>
      <family val="2"/>
    </font>
    <font>
      <b/>
      <sz val="8"/>
      <color indexed="8"/>
      <name val="Tahoma"/>
      <family val="2"/>
    </font>
    <font>
      <sz val="16"/>
      <color indexed="9"/>
      <name val="Tahoma"/>
      <family val="2"/>
    </font>
    <font>
      <sz val="8"/>
      <name val="Times New Roman"/>
      <family val="1"/>
    </font>
    <font>
      <sz val="10"/>
      <name val="Helv"/>
    </font>
    <font>
      <b/>
      <sz val="9"/>
      <name val="Arial"/>
      <family val="2"/>
    </font>
    <font>
      <b/>
      <sz val="11"/>
      <color indexed="23"/>
      <name val="Verdana"/>
      <family val="2"/>
    </font>
    <font>
      <sz val="10"/>
      <color indexed="10"/>
      <name val="Helv"/>
    </font>
    <font>
      <sz val="8"/>
      <name val="Arial"/>
      <family val="2"/>
    </font>
    <font>
      <sz val="9"/>
      <color indexed="10"/>
      <name val="Arial"/>
      <family val="2"/>
    </font>
    <font>
      <i/>
      <sz val="10"/>
      <color indexed="12"/>
      <name val="Tms Rmn"/>
    </font>
    <font>
      <b/>
      <sz val="10"/>
      <color indexed="8"/>
      <name val="Tms Rmn"/>
    </font>
    <font>
      <sz val="11"/>
      <name val="Calibri"/>
      <family val="2"/>
    </font>
    <font>
      <b/>
      <sz val="30"/>
      <color rgb="FF0070C0"/>
      <name val="Arial"/>
      <family val="2"/>
    </font>
    <font>
      <sz val="18"/>
      <color theme="3"/>
      <name val="Cambria"/>
      <family val="2"/>
      <scheme val="major"/>
    </font>
    <font>
      <b/>
      <sz val="11"/>
      <color theme="3"/>
      <name val="Tahoma"/>
      <family val="2"/>
    </font>
    <font>
      <sz val="11"/>
      <color theme="1"/>
      <name val="Calibri"/>
      <family val="2"/>
      <scheme val="minor"/>
    </font>
    <font>
      <b/>
      <sz val="13"/>
      <color rgb="FF413E36"/>
      <name val="Calibri"/>
      <family val="2"/>
    </font>
    <font>
      <b/>
      <sz val="20"/>
      <color rgb="FF526D18"/>
      <name val="Calibri"/>
      <family val="2"/>
    </font>
    <font>
      <b/>
      <sz val="31"/>
      <color rgb="FF0B7E9B"/>
      <name val="Calibri"/>
      <family val="2"/>
    </font>
    <font>
      <b/>
      <sz val="20"/>
      <color theme="1" tint="0.499984740745262"/>
      <name val="Cambria"/>
      <family val="2"/>
      <scheme val="major"/>
    </font>
    <font>
      <b/>
      <sz val="20"/>
      <color rgb="FF808080"/>
      <name val="Calibri"/>
      <family val="2"/>
    </font>
    <font>
      <b/>
      <sz val="25"/>
      <color rgb="FF914106"/>
      <name val="Calibri"/>
      <family val="2"/>
    </font>
    <font>
      <b/>
      <sz val="13"/>
      <color rgb="FF914106"/>
      <name val="Calibri"/>
      <family val="2"/>
    </font>
    <font>
      <b/>
      <sz val="13"/>
      <color theme="2" tint="-0.749961851863155"/>
      <name val="Calibri"/>
      <family val="2"/>
      <scheme val="minor"/>
    </font>
    <font>
      <b/>
      <sz val="13"/>
      <color rgb="FF595959"/>
      <name val="Calibri"/>
      <family val="2"/>
    </font>
    <font>
      <u/>
      <sz val="11"/>
      <color indexed="12"/>
      <name val="Calibri"/>
      <family val="2"/>
    </font>
    <font>
      <sz val="14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</font>
    <font>
      <b/>
      <sz val="14"/>
      <color theme="1"/>
      <name val="Calibri"/>
      <family val="2"/>
    </font>
    <font>
      <b/>
      <sz val="16"/>
      <color theme="1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lightGray">
        <fgColor indexed="13"/>
        <bgColor indexed="13"/>
      </patternFill>
    </fill>
    <fill>
      <patternFill patternType="darkGray">
        <fgColor indexed="22"/>
        <bgColor indexed="13"/>
      </patternFill>
    </fill>
    <fill>
      <patternFill patternType="solid">
        <fgColor indexed="8"/>
        <bgColor indexed="64"/>
      </patternFill>
    </fill>
    <fill>
      <patternFill patternType="solid">
        <fgColor indexed="9"/>
        <bgColor indexed="9"/>
      </patternFill>
    </fill>
    <fill>
      <patternFill patternType="solid">
        <fgColor indexed="22"/>
        <bgColor indexed="22"/>
      </patternFill>
    </fill>
    <fill>
      <patternFill patternType="solid">
        <fgColor indexed="5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18"/>
      </left>
      <right style="medium">
        <color indexed="18"/>
      </right>
      <top style="medium">
        <color indexed="18"/>
      </top>
      <bottom style="medium">
        <color indexed="18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medium">
        <color theme="2" tint="-0.24994659260841701"/>
      </top>
      <bottom/>
      <diagonal/>
    </border>
    <border>
      <left/>
      <right/>
      <top style="medium">
        <color rgb="FFBAB5AB"/>
      </top>
      <bottom/>
      <diagonal/>
    </border>
    <border>
      <left/>
      <right/>
      <top style="thin">
        <color rgb="FF837B6B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3">
    <xf numFmtId="0" fontId="0" fillId="0" borderId="0"/>
    <xf numFmtId="37" fontId="6" fillId="3" borderId="1" applyBorder="0" applyProtection="0">
      <alignment vertical="center"/>
    </xf>
    <xf numFmtId="5" fontId="12" fillId="0" borderId="2">
      <protection locked="0"/>
    </xf>
    <xf numFmtId="0" fontId="7" fillId="4" borderId="0" applyBorder="0">
      <alignment horizontal="left" vertical="center" indent="1"/>
    </xf>
    <xf numFmtId="3" fontId="8" fillId="0" borderId="0" applyFont="0" applyFill="0" applyBorder="0" applyAlignment="0" applyProtection="0"/>
    <xf numFmtId="5" fontId="8" fillId="0" borderId="0" applyFont="0" applyFill="0" applyBorder="0" applyAlignment="0" applyProtection="0"/>
    <xf numFmtId="0" fontId="13" fillId="0" borderId="3"/>
    <xf numFmtId="4" fontId="12" fillId="5" borderId="3">
      <protection locked="0"/>
    </xf>
    <xf numFmtId="0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2" fontId="8" fillId="0" borderId="0" applyFont="0" applyFill="0" applyBorder="0" applyAlignment="0" applyProtection="0"/>
    <xf numFmtId="4" fontId="12" fillId="6" borderId="3"/>
    <xf numFmtId="43" fontId="14" fillId="0" borderId="4"/>
    <xf numFmtId="37" fontId="9" fillId="7" borderId="2" applyBorder="0">
      <alignment horizontal="left" vertical="center" indent="1"/>
    </xf>
    <xf numFmtId="37" fontId="10" fillId="2" borderId="5" applyFill="0">
      <alignment vertical="center"/>
    </xf>
    <xf numFmtId="0" fontId="10" fillId="8" borderId="6" applyNumberFormat="0">
      <alignment horizontal="left" vertical="top" indent="1"/>
    </xf>
    <xf numFmtId="0" fontId="10" fillId="3" borderId="0" applyBorder="0">
      <alignment horizontal="left" vertical="center" indent="1"/>
    </xf>
    <xf numFmtId="0" fontId="10" fillId="0" borderId="6" applyNumberFormat="0" applyFill="0">
      <alignment horizontal="centerContinuous" vertical="top"/>
    </xf>
    <xf numFmtId="43" fontId="14" fillId="0" borderId="7"/>
    <xf numFmtId="44" fontId="14" fillId="0" borderId="8"/>
    <xf numFmtId="0" fontId="15" fillId="2" borderId="0">
      <alignment horizontal="left" wrapText="1" indent="1"/>
    </xf>
    <xf numFmtId="37" fontId="6" fillId="3" borderId="9" applyBorder="0">
      <alignment horizontal="left" vertical="center" indent="2"/>
    </xf>
    <xf numFmtId="0" fontId="16" fillId="0" borderId="0"/>
    <xf numFmtId="169" fontId="17" fillId="9" borderId="10"/>
    <xf numFmtId="168" fontId="17" fillId="0" borderId="10" applyFont="0" applyFill="0" applyBorder="0" applyAlignment="0" applyProtection="0"/>
    <xf numFmtId="0" fontId="11" fillId="4" borderId="0">
      <alignment horizontal="left" indent="1"/>
    </xf>
    <xf numFmtId="2" fontId="18" fillId="0" borderId="0">
      <protection locked="0"/>
    </xf>
    <xf numFmtId="0" fontId="8" fillId="10" borderId="0"/>
    <xf numFmtId="49" fontId="8" fillId="0" borderId="0" applyFont="0" applyFill="0" applyBorder="0" applyAlignment="0" applyProtection="0"/>
    <xf numFmtId="0" fontId="19" fillId="0" borderId="0">
      <alignment horizontal="right"/>
    </xf>
    <xf numFmtId="0" fontId="20" fillId="0" borderId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5" fillId="0" borderId="0"/>
    <xf numFmtId="0" fontId="21" fillId="0" borderId="0"/>
    <xf numFmtId="0" fontId="23" fillId="0" borderId="0" applyNumberFormat="0" applyFill="0" applyBorder="0" applyAlignment="0" applyProtection="0"/>
    <xf numFmtId="0" fontId="24" fillId="0" borderId="11" applyNumberFormat="0" applyFill="0" applyAlignment="0" applyProtection="0"/>
    <xf numFmtId="0" fontId="24" fillId="0" borderId="0" applyNumberFormat="0" applyFill="0" applyBorder="0" applyAlignment="0" applyProtection="0"/>
    <xf numFmtId="0" fontId="25" fillId="0" borderId="0"/>
    <xf numFmtId="0" fontId="29" fillId="0" borderId="12">
      <alignment horizontal="left" vertical="center"/>
    </xf>
    <xf numFmtId="0" fontId="33" fillId="0" borderId="0"/>
    <xf numFmtId="3" fontId="33" fillId="0" borderId="0">
      <alignment horizontal="right"/>
    </xf>
    <xf numFmtId="3" fontId="33" fillId="0" borderId="0">
      <alignment horizontal="right"/>
    </xf>
    <xf numFmtId="0" fontId="35" fillId="0" borderId="0" applyNumberFormat="0" applyFill="0" applyBorder="0" applyAlignment="0" applyProtection="0"/>
    <xf numFmtId="0" fontId="8" fillId="0" borderId="0"/>
    <xf numFmtId="0" fontId="4" fillId="0" borderId="0"/>
    <xf numFmtId="0" fontId="3" fillId="0" borderId="0"/>
    <xf numFmtId="44" fontId="3" fillId="0" borderId="0" applyFont="0" applyFill="0" applyBorder="0" applyAlignment="0" applyProtection="0"/>
    <xf numFmtId="0" fontId="2" fillId="0" borderId="0"/>
    <xf numFmtId="44" fontId="2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</cellStyleXfs>
  <cellXfs count="53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2" fillId="0" borderId="0" xfId="0" applyFont="1" applyAlignment="1">
      <alignment vertical="center"/>
    </xf>
    <xf numFmtId="0" fontId="25" fillId="0" borderId="0" xfId="39"/>
    <xf numFmtId="0" fontId="26" fillId="0" borderId="0" xfId="39" applyFont="1"/>
    <xf numFmtId="0" fontId="27" fillId="0" borderId="0" xfId="38" applyFont="1" applyFill="1" applyBorder="1" applyAlignment="1">
      <alignment vertical="center"/>
    </xf>
    <xf numFmtId="3" fontId="26" fillId="0" borderId="0" xfId="39" applyNumberFormat="1" applyFont="1"/>
    <xf numFmtId="0" fontId="28" fillId="0" borderId="0" xfId="36" applyFont="1" applyFill="1" applyBorder="1" applyAlignment="1">
      <alignment horizontal="left" vertical="center"/>
    </xf>
    <xf numFmtId="0" fontId="27" fillId="0" borderId="0" xfId="38" applyFont="1" applyFill="1" applyBorder="1"/>
    <xf numFmtId="0" fontId="30" fillId="0" borderId="13" xfId="40" applyFont="1" applyBorder="1">
      <alignment horizontal="left" vertical="center"/>
    </xf>
    <xf numFmtId="0" fontId="30" fillId="0" borderId="0" xfId="40" applyFont="1" applyBorder="1">
      <alignment horizontal="left" vertical="center"/>
    </xf>
    <xf numFmtId="0" fontId="31" fillId="0" borderId="0" xfId="37" applyFont="1" applyFill="1" applyBorder="1" applyAlignment="1"/>
    <xf numFmtId="0" fontId="32" fillId="0" borderId="0" xfId="39" applyFont="1"/>
    <xf numFmtId="0" fontId="34" fillId="0" borderId="13" xfId="41" applyFont="1" applyBorder="1"/>
    <xf numFmtId="3" fontId="34" fillId="0" borderId="13" xfId="42" applyFont="1" applyBorder="1">
      <alignment horizontal="right"/>
    </xf>
    <xf numFmtId="3" fontId="34" fillId="0" borderId="13" xfId="43" applyFont="1" applyBorder="1">
      <alignment horizontal="right"/>
    </xf>
    <xf numFmtId="0" fontId="34" fillId="0" borderId="0" xfId="41" applyFont="1"/>
    <xf numFmtId="3" fontId="34" fillId="0" borderId="0" xfId="42" applyFont="1">
      <alignment horizontal="right"/>
    </xf>
    <xf numFmtId="3" fontId="34" fillId="0" borderId="0" xfId="43" applyFont="1">
      <alignment horizontal="right"/>
    </xf>
    <xf numFmtId="0" fontId="26" fillId="0" borderId="14" xfId="39" applyFont="1" applyBorder="1"/>
    <xf numFmtId="3" fontId="26" fillId="0" borderId="14" xfId="39" applyNumberFormat="1" applyFont="1" applyBorder="1"/>
    <xf numFmtId="0" fontId="21" fillId="0" borderId="0" xfId="35"/>
    <xf numFmtId="0" fontId="8" fillId="0" borderId="0" xfId="45"/>
    <xf numFmtId="0" fontId="37" fillId="0" borderId="0" xfId="46" applyFont="1"/>
    <xf numFmtId="14" fontId="38" fillId="0" borderId="0" xfId="46" applyNumberFormat="1" applyFont="1"/>
    <xf numFmtId="0" fontId="38" fillId="0" borderId="0" xfId="46" applyFont="1"/>
    <xf numFmtId="0" fontId="3" fillId="0" borderId="0" xfId="47"/>
    <xf numFmtId="2" fontId="0" fillId="0" borderId="15" xfId="48" applyNumberFormat="1" applyFont="1" applyBorder="1" applyAlignment="1">
      <alignment vertical="center" wrapText="1"/>
    </xf>
    <xf numFmtId="0" fontId="3" fillId="0" borderId="15" xfId="47" applyBorder="1" applyAlignment="1">
      <alignment vertical="center" wrapText="1"/>
    </xf>
    <xf numFmtId="0" fontId="39" fillId="11" borderId="15" xfId="47" applyFont="1" applyFill="1" applyBorder="1"/>
    <xf numFmtId="0" fontId="38" fillId="0" borderId="0" xfId="47" applyFont="1"/>
    <xf numFmtId="0" fontId="38" fillId="0" borderId="15" xfId="47" applyFont="1" applyBorder="1"/>
    <xf numFmtId="0" fontId="37" fillId="0" borderId="15" xfId="47" applyFont="1" applyBorder="1" applyAlignment="1">
      <alignment horizontal="left" vertical="center"/>
    </xf>
    <xf numFmtId="0" fontId="37" fillId="0" borderId="15" xfId="47" applyFont="1" applyBorder="1" applyAlignment="1">
      <alignment horizontal="left"/>
    </xf>
    <xf numFmtId="2" fontId="41" fillId="0" borderId="15" xfId="48" applyNumberFormat="1" applyFont="1" applyFill="1" applyBorder="1"/>
    <xf numFmtId="0" fontId="41" fillId="0" borderId="15" xfId="47" applyFont="1" applyBorder="1"/>
    <xf numFmtId="0" fontId="42" fillId="14" borderId="15" xfId="47" applyFont="1" applyFill="1" applyBorder="1" applyAlignment="1">
      <alignment horizontal="left"/>
    </xf>
    <xf numFmtId="0" fontId="38" fillId="0" borderId="0" xfId="47" applyFont="1" applyAlignment="1">
      <alignment horizontal="right" vertical="center"/>
    </xf>
    <xf numFmtId="2" fontId="38" fillId="0" borderId="15" xfId="47" applyNumberFormat="1" applyFont="1" applyBorder="1" applyAlignment="1">
      <alignment horizontal="right" vertical="center"/>
    </xf>
    <xf numFmtId="0" fontId="37" fillId="12" borderId="15" xfId="47" applyFont="1" applyFill="1" applyBorder="1" applyAlignment="1">
      <alignment horizontal="left" vertical="center"/>
    </xf>
    <xf numFmtId="0" fontId="22" fillId="0" borderId="0" xfId="0" applyFont="1" applyAlignment="1">
      <alignment horizontal="center" vertical="center"/>
    </xf>
    <xf numFmtId="0" fontId="36" fillId="11" borderId="0" xfId="0" applyFont="1" applyFill="1" applyAlignment="1">
      <alignment horizontal="center"/>
    </xf>
    <xf numFmtId="0" fontId="40" fillId="12" borderId="15" xfId="47" applyFont="1" applyFill="1" applyBorder="1" applyAlignment="1">
      <alignment horizontal="center"/>
    </xf>
    <xf numFmtId="0" fontId="40" fillId="13" borderId="15" xfId="47" applyFont="1" applyFill="1" applyBorder="1" applyAlignment="1">
      <alignment horizontal="center" vertical="center"/>
    </xf>
    <xf numFmtId="0" fontId="43" fillId="15" borderId="15" xfId="47" applyFont="1" applyFill="1" applyBorder="1" applyAlignment="1">
      <alignment horizontal="center" vertical="center"/>
    </xf>
    <xf numFmtId="0" fontId="40" fillId="11" borderId="15" xfId="47" applyFont="1" applyFill="1" applyBorder="1" applyAlignment="1">
      <alignment horizontal="center" vertical="center"/>
    </xf>
    <xf numFmtId="0" fontId="1" fillId="0" borderId="0" xfId="51"/>
    <xf numFmtId="2" fontId="41" fillId="0" borderId="15" xfId="52" applyNumberFormat="1" applyFont="1" applyFill="1" applyBorder="1"/>
    <xf numFmtId="0" fontId="41" fillId="0" borderId="15" xfId="51" applyFont="1" applyBorder="1"/>
    <xf numFmtId="0" fontId="42" fillId="14" borderId="15" xfId="51" applyFont="1" applyFill="1" applyBorder="1" applyAlignment="1">
      <alignment horizontal="left"/>
    </xf>
    <xf numFmtId="0" fontId="43" fillId="15" borderId="15" xfId="51" applyFont="1" applyFill="1" applyBorder="1" applyAlignment="1">
      <alignment horizontal="center" vertical="center"/>
    </xf>
  </cellXfs>
  <cellStyles count="53">
    <cellStyle name="amount" xfId="1" xr:uid="{00000000-0005-0000-0000-000000000000}"/>
    <cellStyle name="Amounts" xfId="42" xr:uid="{36BC3C7C-A55F-4409-A9CC-BFB57F8D240A}"/>
    <cellStyle name="Blank" xfId="2" xr:uid="{00000000-0005-0000-0000-000001000000}"/>
    <cellStyle name="Body text" xfId="3" xr:uid="{00000000-0005-0000-0000-000002000000}"/>
    <cellStyle name="Comma0" xfId="4" xr:uid="{00000000-0005-0000-0000-000003000000}"/>
    <cellStyle name="Currency 2" xfId="48" xr:uid="{6D9388EA-7227-4F10-AEC9-A645D642A3DA}"/>
    <cellStyle name="Currency 2 2" xfId="50" xr:uid="{37E518F4-0AC2-4F56-BF2D-007F2EA53B01}"/>
    <cellStyle name="Currency 2 3" xfId="52" xr:uid="{1A4B4084-8B34-44F6-9718-AE0B054C786B}"/>
    <cellStyle name="Currency0" xfId="5" xr:uid="{00000000-0005-0000-0000-000006000000}"/>
    <cellStyle name="DarkBlueOutline" xfId="6" xr:uid="{00000000-0005-0000-0000-000007000000}"/>
    <cellStyle name="DarkBlueOutlineYellow" xfId="7" xr:uid="{00000000-0005-0000-0000-000008000000}"/>
    <cellStyle name="Date" xfId="8" xr:uid="{00000000-0005-0000-0000-000009000000}"/>
    <cellStyle name="Dezimal [0]_Compiling Utility Macros" xfId="9" xr:uid="{00000000-0005-0000-0000-00000A000000}"/>
    <cellStyle name="Dezimal_Compiling Utility Macros" xfId="10" xr:uid="{00000000-0005-0000-0000-00000B000000}"/>
    <cellStyle name="Fixed" xfId="11" xr:uid="{00000000-0005-0000-0000-00000C000000}"/>
    <cellStyle name="GRAY" xfId="12" xr:uid="{00000000-0005-0000-0000-00000D000000}"/>
    <cellStyle name="Gross Margin" xfId="13" xr:uid="{00000000-0005-0000-0000-00000E000000}"/>
    <cellStyle name="header" xfId="14" xr:uid="{00000000-0005-0000-0000-00000F000000}"/>
    <cellStyle name="Header Total" xfId="15" xr:uid="{00000000-0005-0000-0000-000010000000}"/>
    <cellStyle name="Header1" xfId="16" xr:uid="{00000000-0005-0000-0000-000011000000}"/>
    <cellStyle name="Header2" xfId="17" xr:uid="{00000000-0005-0000-0000-000012000000}"/>
    <cellStyle name="Header3" xfId="18" xr:uid="{00000000-0005-0000-0000-000013000000}"/>
    <cellStyle name="Heading 3" xfId="37" builtinId="18"/>
    <cellStyle name="Heading 4" xfId="38" builtinId="19"/>
    <cellStyle name="Hyperlink 2" xfId="44" xr:uid="{631FD42B-73D5-452D-AD61-9D926689D2AD}"/>
    <cellStyle name="Level 2 Total" xfId="19" xr:uid="{00000000-0005-0000-0000-000014000000}"/>
    <cellStyle name="Major Total" xfId="20" xr:uid="{00000000-0005-0000-0000-000015000000}"/>
    <cellStyle name="NonPrint_TemTitle" xfId="21" xr:uid="{00000000-0005-0000-0000-000016000000}"/>
    <cellStyle name="Normal" xfId="0" builtinId="0"/>
    <cellStyle name="Normal 2" xfId="22" xr:uid="{00000000-0005-0000-0000-000018000000}"/>
    <cellStyle name="Normal 3" xfId="34" xr:uid="{00000000-0005-0000-0000-000019000000}"/>
    <cellStyle name="Normal 4" xfId="35" xr:uid="{F6E41AC8-ED7C-4F42-A334-373180B7070F}"/>
    <cellStyle name="Normal 5" xfId="39" xr:uid="{B2FE65D7-95B1-47B5-A379-A4D26EE336A0}"/>
    <cellStyle name="Normal 6" xfId="45" xr:uid="{5B15336F-E52C-4B5C-A077-6F4E04AFEA30}"/>
    <cellStyle name="Normal 7" xfId="46" xr:uid="{EAD26474-5AD6-4A16-B082-6CB569A5CFC2}"/>
    <cellStyle name="Normal 8" xfId="47" xr:uid="{E55259F7-199B-4212-BDA7-1A8FB0A987D7}"/>
    <cellStyle name="Normal 8 2" xfId="49" xr:uid="{546104CD-D23B-4E95-B9EC-FBB91F8FC717}"/>
    <cellStyle name="Normal 8 3" xfId="51" xr:uid="{3FD642EE-B75E-49D7-A59E-521698DFDAEE}"/>
    <cellStyle name="NormalRed" xfId="23" xr:uid="{00000000-0005-0000-0000-00001D000000}"/>
    <cellStyle name="Percent.0" xfId="24" xr:uid="{00000000-0005-0000-0000-00001E000000}"/>
    <cellStyle name="Percent.00" xfId="25" xr:uid="{00000000-0005-0000-0000-00001F000000}"/>
    <cellStyle name="Product Title" xfId="26" xr:uid="{00000000-0005-0000-0000-000020000000}"/>
    <cellStyle name="RED POSTED" xfId="27" xr:uid="{00000000-0005-0000-0000-000021000000}"/>
    <cellStyle name="Standard_Anpassen der Amortisation" xfId="28" xr:uid="{00000000-0005-0000-0000-000022000000}"/>
    <cellStyle name="Table Details" xfId="41" xr:uid="{CF07C661-F70C-4B2B-B1E8-BAF592424691}"/>
    <cellStyle name="Text_simple" xfId="29" xr:uid="{00000000-0005-0000-0000-000023000000}"/>
    <cellStyle name="Title" xfId="36" builtinId="15"/>
    <cellStyle name="TmsRmn10BlueItalic" xfId="30" xr:uid="{00000000-0005-0000-0000-000024000000}"/>
    <cellStyle name="TmsRmn10Bold" xfId="31" xr:uid="{00000000-0005-0000-0000-000025000000}"/>
    <cellStyle name="Variance" xfId="43" xr:uid="{B633D31F-61E8-40CC-86D1-0BCFEF81375F}"/>
    <cellStyle name="Währung [0]_Compiling Utility Macros" xfId="32" xr:uid="{00000000-0005-0000-0000-000026000000}"/>
    <cellStyle name="Währung_Compiling Utility Macros" xfId="33" xr:uid="{00000000-0005-0000-0000-000027000000}"/>
    <cellStyle name="Year" xfId="40" xr:uid="{B8BDDE90-1244-4305-874C-3B48B609D645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E2EDFA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A63B26"/>
      <color rgb="FFFFFF00"/>
      <color rgb="FFF5F5F5"/>
      <color rgb="FFFFC0CB"/>
      <color rgb="FF9ACD32"/>
      <color rgb="FF9CD0F3"/>
      <color rgb="FF339966"/>
      <color rgb="FF5786B9"/>
      <color rgb="FF538D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</a:t>
            </a:r>
            <a:r>
              <a:rPr lang="en-US" baseline="0"/>
              <a:t> Expense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Chart!$C$9</c:f>
              <c:strCache>
                <c:ptCount val="1"/>
                <c:pt idx="0">
                  <c:v>Projected</c:v>
                </c:pt>
              </c:strCache>
            </c:strRef>
          </c:tx>
          <c:spPr>
            <a:gradFill>
              <a:gsLst>
                <a:gs pos="0">
                  <a:schemeClr val="bg1"/>
                </a:gs>
                <a:gs pos="90000">
                  <a:srgbClr val="00B0F0"/>
                </a:gs>
              </a:gsLst>
              <a:lin ang="5400000" scaled="1"/>
            </a:gra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fixedVal"/>
            <c:noEndCap val="0"/>
            <c:val val="10"/>
            <c:spPr>
              <a:noFill/>
              <a:ln w="9525" cap="flat" cmpd="sng" algn="ctr">
                <a:solidFill>
                  <a:srgbClr val="FF0000"/>
                </a:solidFill>
                <a:round/>
              </a:ln>
              <a:effectLst/>
            </c:spPr>
          </c:errBars>
          <c:cat>
            <c:strRef>
              <c:f>Chart!$B$10:$B$12</c:f>
              <c:strCache>
                <c:ptCount val="3"/>
                <c:pt idx="0">
                  <c:v>Groceries</c:v>
                </c:pt>
                <c:pt idx="1">
                  <c:v>Telephone</c:v>
                </c:pt>
                <c:pt idx="2">
                  <c:v>Water</c:v>
                </c:pt>
              </c:strCache>
            </c:strRef>
          </c:cat>
          <c:val>
            <c:numRef>
              <c:f>Chart!$C$10:$C$12</c:f>
              <c:numCache>
                <c:formatCode>#,##0</c:formatCode>
                <c:ptCount val="3"/>
                <c:pt idx="0">
                  <c:v>80</c:v>
                </c:pt>
                <c:pt idx="1">
                  <c:v>38</c:v>
                </c:pt>
                <c:pt idx="2">
                  <c:v>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74-44A1-B4FE-7618EA29E7F4}"/>
            </c:ext>
          </c:extLst>
        </c:ser>
        <c:ser>
          <c:idx val="1"/>
          <c:order val="1"/>
          <c:tx>
            <c:strRef>
              <c:f>Chart!$D$9</c:f>
              <c:strCache>
                <c:ptCount val="1"/>
                <c:pt idx="0">
                  <c:v>Actual</c:v>
                </c:pt>
              </c:strCache>
            </c:strRef>
          </c:tx>
          <c:spPr>
            <a:gradFill>
              <a:gsLst>
                <a:gs pos="0">
                  <a:schemeClr val="bg1"/>
                </a:gs>
                <a:gs pos="90000">
                  <a:srgbClr val="92D050"/>
                </a:gs>
              </a:gsLst>
              <a:lin ang="5400000" scaled="1"/>
            </a:gra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fixedVal"/>
            <c:noEndCap val="0"/>
            <c:val val="10"/>
            <c:spPr>
              <a:noFill/>
              <a:ln w="9525" cap="flat" cmpd="sng" algn="ctr">
                <a:solidFill>
                  <a:srgbClr val="0070C0"/>
                </a:solidFill>
                <a:round/>
              </a:ln>
              <a:effectLst/>
            </c:spPr>
          </c:errBars>
          <c:cat>
            <c:strRef>
              <c:f>Chart!$B$10:$B$12</c:f>
              <c:strCache>
                <c:ptCount val="3"/>
                <c:pt idx="0">
                  <c:v>Groceries</c:v>
                </c:pt>
                <c:pt idx="1">
                  <c:v>Telephone</c:v>
                </c:pt>
                <c:pt idx="2">
                  <c:v>Water</c:v>
                </c:pt>
              </c:strCache>
            </c:strRef>
          </c:cat>
          <c:val>
            <c:numRef>
              <c:f>Chart!$D$10:$D$12</c:f>
              <c:numCache>
                <c:formatCode>#,##0</c:formatCode>
                <c:ptCount val="3"/>
                <c:pt idx="0">
                  <c:v>70</c:v>
                </c:pt>
                <c:pt idx="1">
                  <c:v>38</c:v>
                </c:pt>
                <c:pt idx="2">
                  <c:v>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74-44A1-B4FE-7618EA29E7F4}"/>
            </c:ext>
          </c:extLst>
        </c:ser>
        <c:ser>
          <c:idx val="2"/>
          <c:order val="2"/>
          <c:tx>
            <c:strRef>
              <c:f>Chart!$E$9</c:f>
              <c:strCache>
                <c:ptCount val="1"/>
                <c:pt idx="0">
                  <c:v>Variance</c:v>
                </c:pt>
              </c:strCache>
            </c:strRef>
          </c:tx>
          <c:spPr>
            <a:gradFill>
              <a:gsLst>
                <a:gs pos="0">
                  <a:schemeClr val="bg1"/>
                </a:gs>
                <a:gs pos="90000">
                  <a:schemeClr val="accent6"/>
                </a:gs>
              </a:gsLst>
              <a:lin ang="5400000" scaled="1"/>
            </a:gra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Chart!$B$10:$B$12</c:f>
              <c:strCache>
                <c:ptCount val="3"/>
                <c:pt idx="0">
                  <c:v>Groceries</c:v>
                </c:pt>
                <c:pt idx="1">
                  <c:v>Telephone</c:v>
                </c:pt>
                <c:pt idx="2">
                  <c:v>Water</c:v>
                </c:pt>
              </c:strCache>
            </c:strRef>
          </c:cat>
          <c:val>
            <c:numRef>
              <c:f>Chart!$E$10:$E$12</c:f>
              <c:numCache>
                <c:formatCode>#,##0</c:formatCode>
                <c:ptCount val="3"/>
                <c:pt idx="0">
                  <c:v>10</c:v>
                </c:pt>
                <c:pt idx="1">
                  <c:v>0</c:v>
                </c:pt>
                <c:pt idx="2">
                  <c:v>-13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674-44A1-B4FE-7618EA29E7F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43571768"/>
        <c:axId val="443573736"/>
      </c:barChart>
      <c:catAx>
        <c:axId val="443571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73736"/>
        <c:crosses val="autoZero"/>
        <c:auto val="1"/>
        <c:lblAlgn val="ctr"/>
        <c:lblOffset val="100"/>
        <c:noMultiLvlLbl val="0"/>
      </c:catAx>
      <c:valAx>
        <c:axId val="443573736"/>
        <c:scaling>
          <c:orientation val="minMax"/>
          <c:max val="100"/>
          <c:min val="-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71768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Daily</a:t>
            </a:r>
            <a:r>
              <a:rPr lang="en-US" b="1" baseline="0"/>
              <a:t> Stock Value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'[1]Stock chart'!$B$2</c:f>
              <c:strCache>
                <c:ptCount val="1"/>
                <c:pt idx="0">
                  <c:v>Volume traded </c:v>
                </c:pt>
              </c:strCache>
            </c:strRef>
          </c:tx>
          <c:spPr>
            <a:solidFill>
              <a:schemeClr val="accent1"/>
            </a:solidFill>
            <a:ln w="28575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'[1]Stock chart'!$A$3:$A$7</c:f>
              <c:numCache>
                <c:formatCode>General</c:formatCode>
                <c:ptCount val="5"/>
                <c:pt idx="0">
                  <c:v>45662</c:v>
                </c:pt>
                <c:pt idx="1">
                  <c:v>45663</c:v>
                </c:pt>
                <c:pt idx="2">
                  <c:v>45664</c:v>
                </c:pt>
                <c:pt idx="3">
                  <c:v>45665</c:v>
                </c:pt>
                <c:pt idx="4">
                  <c:v>45666</c:v>
                </c:pt>
              </c:numCache>
            </c:numRef>
          </c:cat>
          <c:val>
            <c:numRef>
              <c:f>'[1]Stock chart'!$B$3:$B$7</c:f>
              <c:numCache>
                <c:formatCode>General</c:formatCode>
                <c:ptCount val="5"/>
                <c:pt idx="0">
                  <c:v>70</c:v>
                </c:pt>
                <c:pt idx="1">
                  <c:v>120</c:v>
                </c:pt>
                <c:pt idx="2">
                  <c:v>150</c:v>
                </c:pt>
                <c:pt idx="3">
                  <c:v>135</c:v>
                </c:pt>
                <c:pt idx="4">
                  <c:v>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BE-43A7-99FC-DE010ABC96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0125824"/>
        <c:axId val="60126784"/>
      </c:barChart>
      <c:stockChart>
        <c:ser>
          <c:idx val="1"/>
          <c:order val="1"/>
          <c:tx>
            <c:strRef>
              <c:f>'[1]Stock chart'!$C$2</c:f>
              <c:strCache>
                <c:ptCount val="1"/>
                <c:pt idx="0">
                  <c:v>High Price (in $)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cat>
            <c:numRef>
              <c:f>'[1]Stock chart'!$A$3:$A$7</c:f>
              <c:numCache>
                <c:formatCode>General</c:formatCode>
                <c:ptCount val="5"/>
                <c:pt idx="0">
                  <c:v>45662</c:v>
                </c:pt>
                <c:pt idx="1">
                  <c:v>45663</c:v>
                </c:pt>
                <c:pt idx="2">
                  <c:v>45664</c:v>
                </c:pt>
                <c:pt idx="3">
                  <c:v>45665</c:v>
                </c:pt>
                <c:pt idx="4">
                  <c:v>45666</c:v>
                </c:pt>
              </c:numCache>
            </c:numRef>
          </c:cat>
          <c:val>
            <c:numRef>
              <c:f>'[1]Stock chart'!$C$3:$C$7</c:f>
              <c:numCache>
                <c:formatCode>General</c:formatCode>
                <c:ptCount val="5"/>
                <c:pt idx="0">
                  <c:v>55</c:v>
                </c:pt>
                <c:pt idx="1">
                  <c:v>57</c:v>
                </c:pt>
                <c:pt idx="2">
                  <c:v>57</c:v>
                </c:pt>
                <c:pt idx="3">
                  <c:v>58</c:v>
                </c:pt>
                <c:pt idx="4">
                  <c:v>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DBE-43A7-99FC-DE010ABC9673}"/>
            </c:ext>
          </c:extLst>
        </c:ser>
        <c:ser>
          <c:idx val="2"/>
          <c:order val="2"/>
          <c:tx>
            <c:strRef>
              <c:f>'[1]Stock chart'!$D$2</c:f>
              <c:strCache>
                <c:ptCount val="1"/>
                <c:pt idx="0">
                  <c:v>Low Price(in $)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cat>
            <c:numRef>
              <c:f>'[1]Stock chart'!$A$3:$A$7</c:f>
              <c:numCache>
                <c:formatCode>General</c:formatCode>
                <c:ptCount val="5"/>
                <c:pt idx="0">
                  <c:v>45662</c:v>
                </c:pt>
                <c:pt idx="1">
                  <c:v>45663</c:v>
                </c:pt>
                <c:pt idx="2">
                  <c:v>45664</c:v>
                </c:pt>
                <c:pt idx="3">
                  <c:v>45665</c:v>
                </c:pt>
                <c:pt idx="4">
                  <c:v>45666</c:v>
                </c:pt>
              </c:numCache>
            </c:numRef>
          </c:cat>
          <c:val>
            <c:numRef>
              <c:f>'[1]Stock chart'!$D$3:$D$7</c:f>
              <c:numCache>
                <c:formatCode>General</c:formatCode>
                <c:ptCount val="5"/>
                <c:pt idx="0">
                  <c:v>11</c:v>
                </c:pt>
                <c:pt idx="1">
                  <c:v>12</c:v>
                </c:pt>
                <c:pt idx="2">
                  <c:v>13</c:v>
                </c:pt>
                <c:pt idx="3">
                  <c:v>11</c:v>
                </c:pt>
                <c:pt idx="4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DBE-43A7-99FC-DE010ABC9673}"/>
            </c:ext>
          </c:extLst>
        </c:ser>
        <c:ser>
          <c:idx val="3"/>
          <c:order val="3"/>
          <c:tx>
            <c:strRef>
              <c:f>'[1]Stock chart'!$E$2</c:f>
              <c:strCache>
                <c:ptCount val="1"/>
                <c:pt idx="0">
                  <c:v>Close Price(in $)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dot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'[1]Stock chart'!$A$3:$A$7</c:f>
              <c:numCache>
                <c:formatCode>General</c:formatCode>
                <c:ptCount val="5"/>
                <c:pt idx="0">
                  <c:v>45662</c:v>
                </c:pt>
                <c:pt idx="1">
                  <c:v>45663</c:v>
                </c:pt>
                <c:pt idx="2">
                  <c:v>45664</c:v>
                </c:pt>
                <c:pt idx="3">
                  <c:v>45665</c:v>
                </c:pt>
                <c:pt idx="4">
                  <c:v>45666</c:v>
                </c:pt>
              </c:numCache>
            </c:numRef>
          </c:cat>
          <c:val>
            <c:numRef>
              <c:f>'[1]Stock chart'!$E$3:$E$7</c:f>
              <c:numCache>
                <c:formatCode>General</c:formatCode>
                <c:ptCount val="5"/>
                <c:pt idx="0">
                  <c:v>32</c:v>
                </c:pt>
                <c:pt idx="1">
                  <c:v>35</c:v>
                </c:pt>
                <c:pt idx="2">
                  <c:v>34</c:v>
                </c:pt>
                <c:pt idx="3">
                  <c:v>35</c:v>
                </c:pt>
                <c:pt idx="4">
                  <c:v>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DBE-43A7-99FC-DE010ABC96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</c:hiLowLines>
        <c:axId val="129824256"/>
        <c:axId val="60129184"/>
      </c:stockChart>
      <c:catAx>
        <c:axId val="601258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26784"/>
        <c:crosses val="autoZero"/>
        <c:auto val="1"/>
        <c:lblAlgn val="ctr"/>
        <c:lblOffset val="100"/>
        <c:noMultiLvlLbl val="1"/>
      </c:catAx>
      <c:valAx>
        <c:axId val="60126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25824"/>
        <c:crosses val="autoZero"/>
        <c:crossBetween val="between"/>
      </c:valAx>
      <c:valAx>
        <c:axId val="60129184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24256"/>
        <c:crosses val="max"/>
        <c:crossBetween val="between"/>
      </c:valAx>
      <c:catAx>
        <c:axId val="1298242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0129184"/>
        <c:crosses val="autoZero"/>
        <c:auto val="1"/>
        <c:lblAlgn val="ctr"/>
        <c:lblOffset val="100"/>
        <c:noMultiLvlLbl val="1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Monthly operating expenses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ofPieChart>
        <c:ofPieType val="pie"/>
        <c:varyColors val="1"/>
        <c:ser>
          <c:idx val="0"/>
          <c:order val="0"/>
          <c:tx>
            <c:strRef>
              <c:f>PieOfPie!$B$2</c:f>
              <c:strCache>
                <c:ptCount val="1"/>
                <c:pt idx="0">
                  <c:v>Amount ($)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8E2-47FF-A60C-DB59DE835B8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8E2-47FF-A60C-DB59DE835B8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8E2-47FF-A60C-DB59DE835B8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8E2-47FF-A60C-DB59DE835B8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8E2-47FF-A60C-DB59DE835B8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8E2-47FF-A60C-DB59DE835B8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A8E2-47FF-A60C-DB59DE835B8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A8E2-47FF-A60C-DB59DE835B8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A8E2-47FF-A60C-DB59DE835B8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PieOfPie!$A$3:$A$9</c:f>
              <c:strCache>
                <c:ptCount val="7"/>
                <c:pt idx="0">
                  <c:v>Rent</c:v>
                </c:pt>
                <c:pt idx="1">
                  <c:v>Utilities</c:v>
                </c:pt>
                <c:pt idx="2">
                  <c:v>Software</c:v>
                </c:pt>
                <c:pt idx="3">
                  <c:v>Marketing</c:v>
                </c:pt>
                <c:pt idx="4">
                  <c:v>Travel</c:v>
                </c:pt>
                <c:pt idx="5">
                  <c:v>Training</c:v>
                </c:pt>
                <c:pt idx="6">
                  <c:v>Office Supplies</c:v>
                </c:pt>
              </c:strCache>
            </c:strRef>
          </c:cat>
          <c:val>
            <c:numRef>
              <c:f>PieOfPie!$B$3:$B$9</c:f>
              <c:numCache>
                <c:formatCode>0.00</c:formatCode>
                <c:ptCount val="7"/>
                <c:pt idx="0">
                  <c:v>12000</c:v>
                </c:pt>
                <c:pt idx="1">
                  <c:v>3500</c:v>
                </c:pt>
                <c:pt idx="2">
                  <c:v>4200</c:v>
                </c:pt>
                <c:pt idx="3">
                  <c:v>8600</c:v>
                </c:pt>
                <c:pt idx="4">
                  <c:v>2300</c:v>
                </c:pt>
                <c:pt idx="5">
                  <c:v>1200</c:v>
                </c:pt>
                <c:pt idx="6">
                  <c:v>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A8E2-47FF-A60C-DB59DE835B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gapWidth val="100"/>
        <c:splitType val="percent"/>
        <c:splitPos val="10"/>
        <c:secondPieSize val="75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Transaction by payment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ofPieChart>
        <c:ofPieType val="bar"/>
        <c:varyColors val="1"/>
        <c:ser>
          <c:idx val="0"/>
          <c:order val="0"/>
          <c:tx>
            <c:strRef>
              <c:f>BarOfPie!$B$2</c:f>
              <c:strCache>
                <c:ptCount val="1"/>
                <c:pt idx="0">
                  <c:v>Amount ($)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3D0-467C-A21A-F8302F2A5BF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3D0-467C-A21A-F8302F2A5BF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3D0-467C-A21A-F8302F2A5BF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73D0-467C-A21A-F8302F2A5BF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73D0-467C-A21A-F8302F2A5BF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73D0-467C-A21A-F8302F2A5BF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73D0-467C-A21A-F8302F2A5BF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73D0-467C-A21A-F8302F2A5BF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73D0-467C-A21A-F8302F2A5BFC}"/>
              </c:ext>
            </c:extLst>
          </c:dPt>
          <c:dLbls>
            <c:numFmt formatCode="&quot;$&quot;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BarOfPie!$A$3:$A$7</c:f>
              <c:strCache>
                <c:ptCount val="5"/>
                <c:pt idx="0">
                  <c:v>Cheque</c:v>
                </c:pt>
                <c:pt idx="1">
                  <c:v>Credit card</c:v>
                </c:pt>
                <c:pt idx="2">
                  <c:v>Debit card</c:v>
                </c:pt>
                <c:pt idx="3">
                  <c:v>Degital wallet</c:v>
                </c:pt>
                <c:pt idx="4">
                  <c:v>Cash</c:v>
                </c:pt>
              </c:strCache>
            </c:strRef>
          </c:cat>
          <c:val>
            <c:numRef>
              <c:f>BarOfPie!$B$3:$B$7</c:f>
              <c:numCache>
                <c:formatCode>0.00</c:formatCode>
                <c:ptCount val="5"/>
                <c:pt idx="0">
                  <c:v>17000</c:v>
                </c:pt>
                <c:pt idx="1">
                  <c:v>3500</c:v>
                </c:pt>
                <c:pt idx="2">
                  <c:v>5800</c:v>
                </c:pt>
                <c:pt idx="3">
                  <c:v>8600</c:v>
                </c:pt>
                <c:pt idx="4">
                  <c:v>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73D0-467C-A21A-F8302F2A5BF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gapWidth val="100"/>
        <c:splitType val="percent"/>
        <c:splitPos val="10"/>
        <c:secondPieSize val="75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size">
        <cx:f>_xlchart.v1.2</cx:f>
      </cx:numDim>
    </cx:data>
  </cx:chartData>
  <cx:chart>
    <cx:title pos="t" align="ctr" overlay="0">
      <cx:tx>
        <cx:txData>
          <cx:v>Category Value Report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/>
          </a:pPr>
          <a:r>
            <a:rPr lang="en-US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Category Value Report</a:t>
          </a:r>
        </a:p>
      </cx:txPr>
    </cx:title>
    <cx:plotArea>
      <cx:plotAreaRegion>
        <cx:series layoutId="sunburst" uniqueId="{7103CA84-DF50-4C06-A51A-9E091B63A54E}">
          <cx:tx>
            <cx:txData>
              <cx:f>_xlchart.v1.1</cx:f>
              <cx:v>Amount ($)</cx:v>
            </cx:txData>
          </cx:tx>
          <cx:dataLabels pos="ctr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>
                    <a:solidFill>
                      <a:sysClr val="window" lastClr="FFFFFF"/>
                    </a:solidFill>
                  </a:defRPr>
                </a:pPr>
                <a:endParaRPr lang="en-US" sz="900" b="0" i="0" u="none" strike="noStrike" baseline="0">
                  <a:solidFill>
                    <a:sysClr val="window" lastClr="FFFFFF"/>
                  </a:solidFill>
                  <a:latin typeface="Calibri" panose="020F0502020204030204"/>
                </a:endParaRPr>
              </a:p>
            </cx:txPr>
            <cx:visibility seriesName="0" categoryName="1" value="0"/>
          </cx:dataLabels>
          <cx:dataId val="0"/>
        </cx:series>
      </cx:plotAreaRegion>
    </cx:plotArea>
    <cx:legend pos="b" align="ctr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</cx:f>
      </cx:numDim>
    </cx:data>
    <cx:data id="1">
      <cx:numDim type="val">
        <cx:f>_xlchart.v1.6</cx:f>
      </cx:numDim>
    </cx:data>
    <cx:data id="2">
      <cx:numDim type="val">
        <cx:f>_xlchart.v1.8</cx:f>
      </cx:numDim>
    </cx:data>
    <cx:data id="3">
      <cx:numDim type="val">
        <cx:f>_xlchart.v1.10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rtl="0"/>
            <a:r>
              <a:rPr lang="en-US" sz="1600" b="1" i="0" baseline="0">
                <a:effectLst/>
                <a:latin typeface="+mn-lt"/>
              </a:rPr>
              <a:t>Car sales report</a:t>
            </a:r>
            <a:endParaRPr lang="en-US" sz="1600" b="1">
              <a:effectLst/>
              <a:latin typeface="+mn-lt"/>
            </a:endParaRPr>
          </a:p>
        </cx:rich>
      </cx:tx>
    </cx:title>
    <cx:plotArea>
      <cx:plotAreaRegion>
        <cx:series layoutId="boxWhisker" uniqueId="{6C3BB119-BBD0-4ED1-ABC5-183C542DC17F}">
          <cx:tx>
            <cx:txData>
              <cx:f>_xlchart.v1.3</cx:f>
              <cx:v>Star Motors</cx:v>
            </cx:txData>
          </cx:tx>
          <cx:dataLabels>
            <cx:visibility seriesName="0" categoryName="0" value="1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  <cx:dataLabelHidden idx="9"/>
            <cx:dataLabelHidden idx="10"/>
            <cx:dataLabelHidden idx="11"/>
            <cx:dataLabelHidden idx="13"/>
            <cx:dataLabelHidden idx="14"/>
            <cx:dataLabelHidden idx="15"/>
            <cx:dataLabelHidden idx="16"/>
          </cx:dataLabels>
          <cx:dataId val="0"/>
          <cx:layoutPr>
            <cx:visibility meanLine="0" meanMarker="1" nonoutliers="1" outliers="1"/>
            <cx:statistics quartileMethod="exclusive"/>
          </cx:layoutPr>
        </cx:series>
        <cx:series layoutId="boxWhisker" uniqueId="{BE0C4D9D-F7CA-4C9A-825B-A1D7308C98EB}">
          <cx:tx>
            <cx:txData>
              <cx:f>_xlchart.v1.5</cx:f>
              <cx:v>Noble Auto</cx:v>
            </cx:txData>
          </cx:tx>
          <cx:dataLabels>
            <cx:visibility seriesName="0" categoryName="0" value="1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  <cx:dataLabelHidden idx="9"/>
            <cx:dataLabelHidden idx="10"/>
            <cx:dataLabelHidden idx="11"/>
            <cx:dataLabelHidden idx="13"/>
            <cx:dataLabelHidden idx="14"/>
            <cx:dataLabelHidden idx="15"/>
            <cx:dataLabelHidden idx="16"/>
          </cx:dataLabels>
          <cx:dataId val="1"/>
          <cx:layoutPr>
            <cx:visibility meanLine="0" meanMarker="1" nonoutliers="1" outliers="1"/>
            <cx:statistics quartileMethod="exclusive"/>
          </cx:layoutPr>
        </cx:series>
        <cx:series layoutId="boxWhisker" uniqueId="{5CF02209-5101-44DD-A904-6BBAE3A20366}">
          <cx:tx>
            <cx:txData>
              <cx:f>_xlchart.v1.7</cx:f>
              <cx:v>Elite Drive</cx:v>
            </cx:txData>
          </cx:tx>
          <cx:dataLabels>
            <cx:visibility seriesName="0" categoryName="0" value="1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  <cx:dataLabelHidden idx="9"/>
            <cx:dataLabelHidden idx="10"/>
            <cx:dataLabelHidden idx="11"/>
            <cx:dataLabelHidden idx="13"/>
            <cx:dataLabelHidden idx="14"/>
            <cx:dataLabelHidden idx="15"/>
            <cx:dataLabelHidden idx="16"/>
          </cx:dataLabels>
          <cx:dataId val="2"/>
          <cx:layoutPr>
            <cx:visibility meanLine="0" meanMarker="1" nonoutliers="1" outliers="1"/>
            <cx:statistics quartileMethod="exclusive"/>
          </cx:layoutPr>
        </cx:series>
        <cx:series layoutId="boxWhisker" uniqueId="{B8D049CB-B484-4C95-A595-42685FDCF57F}">
          <cx:tx>
            <cx:txData>
              <cx:f>_xlchart.v1.9</cx:f>
              <cx:v>SF Vehicles</cx:v>
            </cx:txData>
          </cx:tx>
          <cx:dataLabels>
            <cx:visibility seriesName="0" categoryName="0" value="1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  <cx:dataLabelHidden idx="9"/>
            <cx:dataLabelHidden idx="10"/>
            <cx:dataLabelHidden idx="11"/>
            <cx:dataLabelHidden idx="13"/>
            <cx:dataLabelHidden idx="14"/>
            <cx:dataLabelHidden idx="15"/>
            <cx:dataLabelHidden idx="16"/>
          </cx:dataLabels>
          <cx:dataId val="3"/>
          <cx:layoutPr>
            <cx:visibility meanLine="0" meanMarker="1" nonoutliers="1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 max="120"/>
        <cx:title>
          <cx:tx>
            <cx:txData>
              <cx:v>Total sales achieved 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100"/>
              </a:pPr>
              <a:r>
                <a:rPr lang="en-US" sz="11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Total sales achieved </a:t>
              </a:r>
            </a:p>
          </cx:txPr>
        </cx:title>
        <cx:majorGridlines/>
        <cx:tickLabels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100"/>
          </a:pPr>
          <a:endParaRPr lang="en-US" sz="11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Calibri" panose="020F0502020204030204"/>
          </a:endParaRPr>
        </a:p>
      </cx:txPr>
    </cx:legend>
  </cx:chart>
  <cx:printSettings>
    <cx:headerFooter alignWithMargins="1" differentOddEven="0" differentFirst="0"/>
    <cx:pageMargins l="0.69999999999999996" r="0.69999999999999996" t="0.75" b="0.75" header="0.29999999999999999" footer="0.29999999999999999"/>
    <cx:pageSetup paperSize="1" firstPageNumber="1" orientation="default" blackAndWhite="0" draft="0" useFirstPageNumber="0" horizontalDpi="600" verticalDpi="600" copies="1"/>
  </cx:printSettings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_xlchart.v1.11</cx:f>
      </cx:strDim>
      <cx:numDim type="val">
        <cx:f>_xlchart.v1.12</cx:f>
      </cx:numDim>
    </cx:data>
  </cx:chartData>
  <cx:chart>
    <cx:title pos="t" align="ctr" overlay="0">
      <cx:tx>
        <cx:txData>
          <cx:v>Monthly Revenue Variations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/>
          </a:pPr>
          <a:r>
            <a:rPr lang="en-US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Monthly Revenue Variations</a:t>
          </a:r>
        </a:p>
      </cx:txPr>
    </cx:title>
    <cx:plotArea>
      <cx:plotAreaRegion>
        <cx:series layoutId="waterfall" uniqueId="{B09310E6-9EB2-4C49-B2C2-81E7B9E31F5D}">
          <cx:dataLabels pos="outEnd">
            <cx:visibility seriesName="0" categoryName="0" value="1"/>
          </cx:dataLabels>
          <cx:dataId val="0"/>
          <cx:layoutPr>
            <cx:subtotals>
              <cx:idx val="0"/>
              <cx:idx val="5"/>
            </cx:subtotals>
          </cx:layoutPr>
        </cx:series>
      </cx:plotAreaRegion>
      <cx:axis id="0">
        <cx:catScaling gapWidth="0.5"/>
        <cx:tickLabels/>
      </cx:axis>
      <cx:axis id="1">
        <cx:valScaling/>
        <cx:majorGridlines/>
        <cx:tickLabels/>
      </cx:axis>
    </cx:plotArea>
    <cx:legend pos="t" align="ctr" overlay="0"/>
  </cx:chart>
  <cx:printSettings>
    <cx:headerFooter alignWithMargins="1" differentOddEven="0" differentFirst="0"/>
    <cx:pageMargins l="0.69999999999999996" r="0.69999999999999996" t="0.75" b="0.75" header="0.29999999999999999" footer="0.29999999999999999"/>
    <cx:pageSetup paperSize="1" firstPageNumber="1" orientation="default" blackAndWhite="0" draft="0" useFirstPageNumber="0" horizontalDpi="600" verticalDpi="600" copies="1"/>
  </cx:printSettings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_xlchart.v1.13</cx:f>
      </cx:strDim>
      <cx:numDim type="size">
        <cx:f>_xlchart.v1.15</cx:f>
      </cx:numDim>
    </cx:data>
  </cx:chartData>
  <cx:chart>
    <cx:title pos="t" align="ctr" overlay="0">
      <cx:tx>
        <cx:txData>
          <cx:v>Population Report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Population Report</a:t>
          </a:r>
        </a:p>
      </cx:txPr>
    </cx:title>
    <cx:plotArea>
      <cx:plotAreaRegion>
        <cx:series layoutId="treemap" uniqueId="{B63FD84F-3A4A-4C2B-9DA7-B6DB043030ED}">
          <cx:tx>
            <cx:txData>
              <cx:f>_xlchart.v1.14</cx:f>
              <cx:v>Population (millions)</cx:v>
            </cx:txData>
          </cx:tx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1200" b="0" i="0">
                    <a:solidFill>
                      <a:schemeClr val="bg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>
                  <a:solidFill>
                    <a:schemeClr val="bg1"/>
                  </a:solidFill>
                </a:endParaRPr>
              </a:p>
            </cx:txPr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  <cx:legend pos="t" align="ctr" overlay="0">
      <cx:txPr>
        <a:bodyPr vertOverflow="overflow" horzOverflow="overflow" wrap="square" lIns="0" tIns="0" rIns="0" bIns="0"/>
        <a:lstStyle/>
        <a:p>
          <a:pPr algn="ctr" rtl="0">
            <a:defRPr sz="1200" b="0" i="0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/>
        </a:p>
      </cx:tx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3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50000"/>
            <a:lumOff val="50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4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3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50000"/>
            <a:lumOff val="50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4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tif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6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8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9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38100</xdr:rowOff>
    </xdr:from>
    <xdr:to>
      <xdr:col>2</xdr:col>
      <xdr:colOff>368300</xdr:colOff>
      <xdr:row>4</xdr:row>
      <xdr:rowOff>94767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38100"/>
          <a:ext cx="1987550" cy="69166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27214</xdr:colOff>
      <xdr:row>13</xdr:row>
      <xdr:rowOff>91567</xdr:rowOff>
    </xdr:from>
    <xdr:to>
      <xdr:col>3</xdr:col>
      <xdr:colOff>456185</xdr:colOff>
      <xdr:row>17</xdr:row>
      <xdr:rowOff>8698</xdr:rowOff>
    </xdr:to>
    <xdr:sp macro="" textlink="" fLocksText="0">
      <xdr:nvSpPr>
        <xdr:cNvPr id="2" name="Rectangle: Rounded Corners 1">
          <a:extLst>
            <a:ext uri="{FF2B5EF4-FFF2-40B4-BE49-F238E27FC236}">
              <a16:creationId xmlns:a16="http://schemas.microsoft.com/office/drawing/2014/main" id="{AB00E4FD-3A29-459E-B74B-DD4668EED0BC}"/>
            </a:ext>
          </a:extLst>
        </xdr:cNvPr>
        <xdr:cNvSpPr/>
      </xdr:nvSpPr>
      <xdr:spPr>
        <a:xfrm>
          <a:off x="820964" y="4079367"/>
          <a:ext cx="1832321" cy="552131"/>
        </a:xfrm>
        <a:prstGeom prst="roundRect">
          <a:avLst/>
        </a:prstGeom>
        <a:gradFill>
          <a:gsLst>
            <a:gs pos="18000">
              <a:srgbClr val="EC1C24"/>
            </a:gs>
            <a:gs pos="100000">
              <a:schemeClr val="bg1"/>
            </a:gs>
          </a:gsLst>
          <a:lin ang="5400000" scaled="1"/>
        </a:gradFill>
        <a:ln cmpd="sng">
          <a:solidFill>
            <a:srgbClr val="FF0000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anchor="ctr" anchorCtr="0"/>
        <a:lstStyle/>
        <a:p>
          <a:pPr algn="l"/>
          <a:r>
            <a:rPr lang="en-US" sz="2000" b="0" i="1">
              <a:solidFill>
                <a:srgbClr val="FFFFFF"/>
              </a:solidFill>
              <a:latin typeface="Segoe UI"/>
            </a:rPr>
            <a:t>E</a:t>
          </a:r>
          <a:r>
            <a:rPr lang="en-US" sz="1200" b="0" i="1">
              <a:solidFill>
                <a:srgbClr val="FFFFFF"/>
              </a:solidFill>
              <a:latin typeface="Segoe UI"/>
            </a:rPr>
            <a:t>xecution</a:t>
          </a:r>
        </a:p>
      </xdr:txBody>
    </xdr:sp>
    <xdr:clientData/>
  </xdr:twoCellAnchor>
  <xdr:twoCellAnchor>
    <xdr:from>
      <xdr:col>1</xdr:col>
      <xdr:colOff>637988</xdr:colOff>
      <xdr:row>17</xdr:row>
      <xdr:rowOff>8698</xdr:rowOff>
    </xdr:from>
    <xdr:to>
      <xdr:col>2</xdr:col>
      <xdr:colOff>550262</xdr:colOff>
      <xdr:row>19</xdr:row>
      <xdr:rowOff>59284</xdr:rowOff>
    </xdr:to>
    <xdr:sp macro="" textlink="" fLocksText="0">
      <xdr:nvSpPr>
        <xdr:cNvPr id="3" name="Arrow: Down 2">
          <a:extLst>
            <a:ext uri="{FF2B5EF4-FFF2-40B4-BE49-F238E27FC236}">
              <a16:creationId xmlns:a16="http://schemas.microsoft.com/office/drawing/2014/main" id="{47F00A31-B8CF-4CE3-9AE0-6B31AE54C943}"/>
            </a:ext>
          </a:extLst>
        </xdr:cNvPr>
        <xdr:cNvSpPr/>
      </xdr:nvSpPr>
      <xdr:spPr>
        <a:xfrm>
          <a:off x="1431738" y="4631498"/>
          <a:ext cx="610774" cy="368086"/>
        </a:xfrm>
        <a:prstGeom prst="downArrow">
          <a:avLst/>
        </a:prstGeom>
        <a:solidFill>
          <a:srgbClr val="FFFFFF"/>
        </a:solidFill>
        <a:ln w="12700" cmpd="sng">
          <a:solidFill>
            <a:srgbClr val="0000FF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sp>
    <xdr:clientData/>
  </xdr:twoCellAnchor>
  <xdr:twoCellAnchor>
    <xdr:from>
      <xdr:col>1</xdr:col>
      <xdr:colOff>27214</xdr:colOff>
      <xdr:row>19</xdr:row>
      <xdr:rowOff>59284</xdr:rowOff>
    </xdr:from>
    <xdr:to>
      <xdr:col>3</xdr:col>
      <xdr:colOff>456185</xdr:colOff>
      <xdr:row>22</xdr:row>
      <xdr:rowOff>135164</xdr:rowOff>
    </xdr:to>
    <xdr:sp macro="" textlink="" fLocksText="0">
      <xdr:nvSpPr>
        <xdr:cNvPr id="4" name="Rectangle: Rounded Corners 3">
          <a:extLst>
            <a:ext uri="{FF2B5EF4-FFF2-40B4-BE49-F238E27FC236}">
              <a16:creationId xmlns:a16="http://schemas.microsoft.com/office/drawing/2014/main" id="{F2557FAD-97CB-4F62-882A-3B74BFDDE9A6}"/>
            </a:ext>
          </a:extLst>
        </xdr:cNvPr>
        <xdr:cNvSpPr/>
      </xdr:nvSpPr>
      <xdr:spPr>
        <a:xfrm>
          <a:off x="820964" y="4999584"/>
          <a:ext cx="1832321" cy="552130"/>
        </a:xfrm>
        <a:prstGeom prst="roundRect">
          <a:avLst/>
        </a:prstGeom>
        <a:gradFill>
          <a:gsLst>
            <a:gs pos="18000">
              <a:srgbClr val="F8BC19"/>
            </a:gs>
            <a:gs pos="100000">
              <a:schemeClr val="bg1"/>
            </a:gs>
          </a:gsLst>
          <a:lin ang="5400000" scaled="1"/>
        </a:gradFill>
        <a:ln cmpd="sng">
          <a:solidFill>
            <a:srgbClr val="FFC000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anchor="ctr" anchorCtr="0"/>
        <a:lstStyle/>
        <a:p>
          <a:pPr algn="l"/>
          <a:r>
            <a:rPr lang="en-US" sz="2000" b="0" i="0" u="sng">
              <a:solidFill>
                <a:srgbClr val="800000"/>
              </a:solidFill>
              <a:latin typeface="Segoe UI"/>
            </a:rPr>
            <a:t>T</a:t>
          </a:r>
          <a:r>
            <a:rPr lang="en-US" sz="1200" b="0" i="0" u="sng">
              <a:solidFill>
                <a:srgbClr val="800000"/>
              </a:solidFill>
              <a:latin typeface="Segoe UI"/>
            </a:rPr>
            <a:t>esting</a:t>
          </a:r>
        </a:p>
      </xdr:txBody>
    </xdr:sp>
    <xdr:clientData/>
  </xdr:twoCellAnchor>
  <xdr:twoCellAnchor>
    <xdr:from>
      <xdr:col>1</xdr:col>
      <xdr:colOff>637988</xdr:colOff>
      <xdr:row>22</xdr:row>
      <xdr:rowOff>135164</xdr:rowOff>
    </xdr:from>
    <xdr:to>
      <xdr:col>2</xdr:col>
      <xdr:colOff>550262</xdr:colOff>
      <xdr:row>25</xdr:row>
      <xdr:rowOff>27001</xdr:rowOff>
    </xdr:to>
    <xdr:sp macro="" textlink="" fLocksText="0">
      <xdr:nvSpPr>
        <xdr:cNvPr id="5" name="Arrow: Down 4">
          <a:extLst>
            <a:ext uri="{FF2B5EF4-FFF2-40B4-BE49-F238E27FC236}">
              <a16:creationId xmlns:a16="http://schemas.microsoft.com/office/drawing/2014/main" id="{8B071736-0115-4CDA-8722-4C71D18C0485}"/>
            </a:ext>
          </a:extLst>
        </xdr:cNvPr>
        <xdr:cNvSpPr/>
      </xdr:nvSpPr>
      <xdr:spPr>
        <a:xfrm>
          <a:off x="1431738" y="5551714"/>
          <a:ext cx="610774" cy="368087"/>
        </a:xfrm>
        <a:prstGeom prst="downArrow">
          <a:avLst/>
        </a:prstGeom>
        <a:solidFill>
          <a:srgbClr val="FFFFFF"/>
        </a:solidFill>
        <a:ln w="12700" cmpd="sng">
          <a:solidFill>
            <a:srgbClr val="0000FF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sp>
    <xdr:clientData/>
  </xdr:twoCellAnchor>
  <xdr:twoCellAnchor>
    <xdr:from>
      <xdr:col>1</xdr:col>
      <xdr:colOff>27214</xdr:colOff>
      <xdr:row>25</xdr:row>
      <xdr:rowOff>27001</xdr:rowOff>
    </xdr:from>
    <xdr:to>
      <xdr:col>3</xdr:col>
      <xdr:colOff>456185</xdr:colOff>
      <xdr:row>28</xdr:row>
      <xdr:rowOff>102881</xdr:rowOff>
    </xdr:to>
    <xdr:sp macro="" textlink="" fLocksText="0">
      <xdr:nvSpPr>
        <xdr:cNvPr id="6" name="Rectangle: Rounded Corners 5">
          <a:extLst>
            <a:ext uri="{FF2B5EF4-FFF2-40B4-BE49-F238E27FC236}">
              <a16:creationId xmlns:a16="http://schemas.microsoft.com/office/drawing/2014/main" id="{868CC389-DCDE-40D3-907C-14D50BF79B1F}"/>
            </a:ext>
          </a:extLst>
        </xdr:cNvPr>
        <xdr:cNvSpPr/>
      </xdr:nvSpPr>
      <xdr:spPr>
        <a:xfrm>
          <a:off x="820964" y="5919801"/>
          <a:ext cx="1832321" cy="552130"/>
        </a:xfrm>
        <a:prstGeom prst="roundRect">
          <a:avLst/>
        </a:prstGeom>
        <a:gradFill>
          <a:gsLst>
            <a:gs pos="18000">
              <a:srgbClr val="5DC1D0"/>
            </a:gs>
            <a:gs pos="100000">
              <a:schemeClr val="bg1"/>
            </a:gs>
          </a:gsLst>
          <a:lin ang="5400000" scaled="1"/>
        </a:gradFill>
        <a:ln cmpd="sng">
          <a:solidFill>
            <a:srgbClr val="5786B9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anchor="ctr" anchorCtr="0"/>
        <a:lstStyle/>
        <a:p>
          <a:pPr algn="l"/>
          <a:r>
            <a:rPr lang="en-US" sz="2000" b="0" i="0">
              <a:solidFill>
                <a:srgbClr val="000000"/>
              </a:solidFill>
              <a:latin typeface="Segoe UI"/>
            </a:rPr>
            <a:t>R</a:t>
          </a:r>
          <a:r>
            <a:rPr lang="en-US" sz="1200" b="0" i="0">
              <a:solidFill>
                <a:srgbClr val="000000"/>
              </a:solidFill>
              <a:latin typeface="Segoe UI"/>
            </a:rPr>
            <a:t>elease</a:t>
          </a:r>
        </a:p>
      </xdr:txBody>
    </xdr:sp>
    <xdr:clientData/>
  </xdr:twoCellAnchor>
  <xdr:twoCellAnchor>
    <xdr:from>
      <xdr:col>1</xdr:col>
      <xdr:colOff>0</xdr:colOff>
      <xdr:row>2</xdr:row>
      <xdr:rowOff>0</xdr:rowOff>
    </xdr:from>
    <xdr:to>
      <xdr:col>3</xdr:col>
      <xdr:colOff>425983</xdr:colOff>
      <xdr:row>5</xdr:row>
      <xdr:rowOff>73265</xdr:rowOff>
    </xdr:to>
    <xdr:sp macro="" textlink="" fLocksText="0">
      <xdr:nvSpPr>
        <xdr:cNvPr id="7" name="Rectangle: Rounded Corners 6">
          <a:extLst>
            <a:ext uri="{FF2B5EF4-FFF2-40B4-BE49-F238E27FC236}">
              <a16:creationId xmlns:a16="http://schemas.microsoft.com/office/drawing/2014/main" id="{0CD5C9F5-8A1D-47AD-AA80-7A052BCEC3CB}"/>
            </a:ext>
          </a:extLst>
        </xdr:cNvPr>
        <xdr:cNvSpPr/>
      </xdr:nvSpPr>
      <xdr:spPr>
        <a:xfrm>
          <a:off x="793750" y="2241550"/>
          <a:ext cx="1829333" cy="549515"/>
        </a:xfrm>
        <a:prstGeom prst="roundRect">
          <a:avLst/>
        </a:prstGeom>
        <a:gradFill>
          <a:gsLst>
            <a:gs pos="21000">
              <a:srgbClr val="F5931E"/>
            </a:gs>
            <a:gs pos="100000">
              <a:schemeClr val="bg1"/>
            </a:gs>
          </a:gsLst>
          <a:lin ang="5400000" scaled="1"/>
        </a:gradFill>
        <a:ln cmpd="sng">
          <a:solidFill>
            <a:schemeClr val="accent6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anchor="ctr" anchorCtr="0"/>
        <a:lstStyle/>
        <a:p>
          <a:pPr algn="l"/>
          <a:r>
            <a:rPr lang="en-US" sz="2000" b="1" i="0">
              <a:solidFill>
                <a:srgbClr val="FFFFFF"/>
              </a:solidFill>
              <a:latin typeface="Segoe UI"/>
            </a:rPr>
            <a:t>R</a:t>
          </a:r>
          <a:r>
            <a:rPr lang="en-US" sz="1200" b="1" i="0">
              <a:solidFill>
                <a:srgbClr val="FFFFFF"/>
              </a:solidFill>
              <a:latin typeface="Segoe UI"/>
            </a:rPr>
            <a:t>equirement</a:t>
          </a:r>
        </a:p>
      </xdr:txBody>
    </xdr:sp>
    <xdr:clientData/>
  </xdr:twoCellAnchor>
  <xdr:twoCellAnchor>
    <xdr:from>
      <xdr:col>1</xdr:col>
      <xdr:colOff>607786</xdr:colOff>
      <xdr:row>5</xdr:row>
      <xdr:rowOff>73265</xdr:rowOff>
    </xdr:from>
    <xdr:to>
      <xdr:col>2</xdr:col>
      <xdr:colOff>520060</xdr:colOff>
      <xdr:row>7</xdr:row>
      <xdr:rowOff>123851</xdr:rowOff>
    </xdr:to>
    <xdr:sp macro="" textlink="" fLocksText="0">
      <xdr:nvSpPr>
        <xdr:cNvPr id="8" name="Arrow: Down 7">
          <a:extLst>
            <a:ext uri="{FF2B5EF4-FFF2-40B4-BE49-F238E27FC236}">
              <a16:creationId xmlns:a16="http://schemas.microsoft.com/office/drawing/2014/main" id="{94F52EA4-A1F6-401D-879D-FA2878ABFFEC}"/>
            </a:ext>
          </a:extLst>
        </xdr:cNvPr>
        <xdr:cNvSpPr/>
      </xdr:nvSpPr>
      <xdr:spPr>
        <a:xfrm>
          <a:off x="1401536" y="2791065"/>
          <a:ext cx="610774" cy="368086"/>
        </a:xfrm>
        <a:prstGeom prst="downArrow">
          <a:avLst/>
        </a:prstGeom>
        <a:solidFill>
          <a:srgbClr val="FFFFFF"/>
        </a:solidFill>
        <a:ln w="12700" cmpd="sng">
          <a:solidFill>
            <a:srgbClr val="0000FF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sp>
    <xdr:clientData/>
  </xdr:twoCellAnchor>
  <xdr:twoCellAnchor>
    <xdr:from>
      <xdr:col>1</xdr:col>
      <xdr:colOff>0</xdr:colOff>
      <xdr:row>7</xdr:row>
      <xdr:rowOff>123851</xdr:rowOff>
    </xdr:from>
    <xdr:to>
      <xdr:col>3</xdr:col>
      <xdr:colOff>425983</xdr:colOff>
      <xdr:row>11</xdr:row>
      <xdr:rowOff>40981</xdr:rowOff>
    </xdr:to>
    <xdr:sp macro="" textlink="" fLocksText="0">
      <xdr:nvSpPr>
        <xdr:cNvPr id="9" name="Rectangle: Rounded Corners 8">
          <a:extLst>
            <a:ext uri="{FF2B5EF4-FFF2-40B4-BE49-F238E27FC236}">
              <a16:creationId xmlns:a16="http://schemas.microsoft.com/office/drawing/2014/main" id="{FC10AB36-7279-48F8-881E-C3AF595A2F7D}"/>
            </a:ext>
          </a:extLst>
        </xdr:cNvPr>
        <xdr:cNvSpPr/>
      </xdr:nvSpPr>
      <xdr:spPr>
        <a:xfrm>
          <a:off x="793750" y="3159151"/>
          <a:ext cx="1829333" cy="552130"/>
        </a:xfrm>
        <a:prstGeom prst="roundRect">
          <a:avLst/>
        </a:prstGeom>
        <a:gradFill>
          <a:gsLst>
            <a:gs pos="18000">
              <a:srgbClr val="99AF3C"/>
            </a:gs>
            <a:gs pos="100000">
              <a:schemeClr val="bg1"/>
            </a:gs>
          </a:gsLst>
          <a:lin ang="5400000" scaled="1"/>
        </a:gradFill>
        <a:ln cmpd="sng">
          <a:solidFill>
            <a:srgbClr val="92D050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anchor="ctr" anchorCtr="0"/>
        <a:lstStyle/>
        <a:p>
          <a:pPr algn="l"/>
          <a:r>
            <a:rPr lang="en-US" sz="2000" b="0" i="0">
              <a:solidFill>
                <a:srgbClr val="FFFFFF"/>
              </a:solidFill>
              <a:latin typeface="Segoe UI"/>
            </a:rPr>
            <a:t>D</a:t>
          </a:r>
          <a:r>
            <a:rPr lang="en-US" sz="1200" b="0" i="0">
              <a:solidFill>
                <a:srgbClr val="FFFFFF"/>
              </a:solidFill>
              <a:latin typeface="Segoe UI"/>
            </a:rPr>
            <a:t>esign</a:t>
          </a:r>
        </a:p>
      </xdr:txBody>
    </xdr:sp>
    <xdr:clientData/>
  </xdr:twoCellAnchor>
  <xdr:twoCellAnchor>
    <xdr:from>
      <xdr:col>1</xdr:col>
      <xdr:colOff>607786</xdr:colOff>
      <xdr:row>11</xdr:row>
      <xdr:rowOff>40981</xdr:rowOff>
    </xdr:from>
    <xdr:to>
      <xdr:col>2</xdr:col>
      <xdr:colOff>520060</xdr:colOff>
      <xdr:row>13</xdr:row>
      <xdr:rowOff>91567</xdr:rowOff>
    </xdr:to>
    <xdr:sp macro="" textlink="" fLocksText="0">
      <xdr:nvSpPr>
        <xdr:cNvPr id="10" name="Arrow: Down 9">
          <a:extLst>
            <a:ext uri="{FF2B5EF4-FFF2-40B4-BE49-F238E27FC236}">
              <a16:creationId xmlns:a16="http://schemas.microsoft.com/office/drawing/2014/main" id="{268B5C87-69AA-488D-9811-3467D3B4A98D}"/>
            </a:ext>
          </a:extLst>
        </xdr:cNvPr>
        <xdr:cNvSpPr/>
      </xdr:nvSpPr>
      <xdr:spPr>
        <a:xfrm>
          <a:off x="1401536" y="3711281"/>
          <a:ext cx="610774" cy="368086"/>
        </a:xfrm>
        <a:prstGeom prst="downArrow">
          <a:avLst/>
        </a:prstGeom>
        <a:solidFill>
          <a:srgbClr val="FFFFFF"/>
        </a:solidFill>
        <a:ln w="12700" cmpd="sng">
          <a:solidFill>
            <a:srgbClr val="0000FF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2486025</xdr:colOff>
      <xdr:row>1</xdr:row>
      <xdr:rowOff>257174</xdr:rowOff>
    </xdr:from>
    <xdr:to>
      <xdr:col>5</xdr:col>
      <xdr:colOff>171450</xdr:colOff>
      <xdr:row>7</xdr:row>
      <xdr:rowOff>400049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133350</xdr:rowOff>
    </xdr:from>
    <xdr:to>
      <xdr:col>5</xdr:col>
      <xdr:colOff>38100</xdr:colOff>
      <xdr:row>26</xdr:row>
      <xdr:rowOff>121920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2C10377-A2DA-40D3-AB51-75CDC3ACBD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13</xdr:row>
      <xdr:rowOff>148980</xdr:rowOff>
    </xdr:from>
    <xdr:to>
      <xdr:col>6</xdr:col>
      <xdr:colOff>449385</xdr:colOff>
      <xdr:row>36</xdr:row>
      <xdr:rowOff>58615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EDA131E2-BD4F-4704-842C-044BE7133DD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2648340"/>
              <a:ext cx="5554785" cy="4115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16</xdr:row>
      <xdr:rowOff>19050</xdr:rowOff>
    </xdr:from>
    <xdr:to>
      <xdr:col>8</xdr:col>
      <xdr:colOff>504825</xdr:colOff>
      <xdr:row>40</xdr:row>
      <xdr:rowOff>190500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7DDB71C2-1AEE-4643-82D6-EC818C65C03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50" y="3303270"/>
              <a:ext cx="5995035" cy="49263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4</xdr:col>
      <xdr:colOff>1226820</xdr:colOff>
      <xdr:row>32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51CE7A-92B8-4581-9D79-B8E1E646DD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140970</xdr:rowOff>
    </xdr:from>
    <xdr:to>
      <xdr:col>6</xdr:col>
      <xdr:colOff>472440</xdr:colOff>
      <xdr:row>28</xdr:row>
      <xdr:rowOff>68580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4C5875DC-2D14-4615-8313-678FAC6B8FD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2061210"/>
              <a:ext cx="5532120" cy="34175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4479</xdr:colOff>
      <xdr:row>14</xdr:row>
      <xdr:rowOff>181780</xdr:rowOff>
    </xdr:from>
    <xdr:to>
      <xdr:col>5</xdr:col>
      <xdr:colOff>518161</xdr:colOff>
      <xdr:row>35</xdr:row>
      <xdr:rowOff>30480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66F3E35E-3763-408F-85EC-0674EECB086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79" y="3100240"/>
              <a:ext cx="5626702" cy="36891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83820</xdr:rowOff>
    </xdr:from>
    <xdr:to>
      <xdr:col>4</xdr:col>
      <xdr:colOff>1127760</xdr:colOff>
      <xdr:row>28</xdr:row>
      <xdr:rowOff>106680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AE3AAF3-7AC3-4FE1-8B31-79AB2A977E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82550</xdr:colOff>
      <xdr:row>1</xdr:row>
      <xdr:rowOff>6350</xdr:rowOff>
    </xdr:from>
    <xdr:ext cx="5486400" cy="2144619"/>
    <xdr:pic>
      <xdr:nvPicPr>
        <xdr:cNvPr id="2" name="Picture 1">
          <a:extLst>
            <a:ext uri="{FF2B5EF4-FFF2-40B4-BE49-F238E27FC236}">
              <a16:creationId xmlns:a16="http://schemas.microsoft.com/office/drawing/2014/main" id="{BACC1943-11B6-4768-944E-96AA82CC77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550" y="165100"/>
          <a:ext cx="5486400" cy="2144619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owthamPonraj\Downloads\ExcelToPDF%209.xlsx" TargetMode="External"/><Relationship Id="rId1" Type="http://schemas.openxmlformats.org/officeDocument/2006/relationships/externalLinkPath" Target="file:///C:\Users\GowthamPonraj\Downloads\ExcelToPDF%209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"/>
      <sheetName val="PivotTable"/>
      <sheetName val="Autoshapes"/>
      <sheetName val="Chart"/>
      <sheetName val="Chart with shape"/>
      <sheetName val="Stock chart"/>
      <sheetName val="AdvancedCF"/>
      <sheetName val="Top-Bottom Rules"/>
      <sheetName val="Form Control"/>
      <sheetName val="EMF image"/>
    </sheetNames>
    <sheetDataSet>
      <sheetData sheetId="0"/>
      <sheetData sheetId="1"/>
      <sheetData sheetId="2"/>
      <sheetData sheetId="3"/>
      <sheetData sheetId="4"/>
      <sheetData sheetId="5">
        <row r="2">
          <cell r="B2" t="str">
            <v xml:space="preserve">Volume traded </v>
          </cell>
          <cell r="C2" t="str">
            <v>High Price (in $)</v>
          </cell>
          <cell r="D2" t="str">
            <v>Low Price(in $)</v>
          </cell>
          <cell r="E2" t="str">
            <v>Close Price(in $)</v>
          </cell>
        </row>
        <row r="3">
          <cell r="A3">
            <v>45662</v>
          </cell>
          <cell r="B3">
            <v>70</v>
          </cell>
          <cell r="C3">
            <v>55</v>
          </cell>
          <cell r="D3">
            <v>11</v>
          </cell>
          <cell r="E3">
            <v>32</v>
          </cell>
        </row>
        <row r="4">
          <cell r="A4">
            <v>45663</v>
          </cell>
          <cell r="B4">
            <v>120</v>
          </cell>
          <cell r="C4">
            <v>57</v>
          </cell>
          <cell r="D4">
            <v>12</v>
          </cell>
          <cell r="E4">
            <v>35</v>
          </cell>
        </row>
        <row r="5">
          <cell r="A5">
            <v>45664</v>
          </cell>
          <cell r="B5">
            <v>150</v>
          </cell>
          <cell r="C5">
            <v>57</v>
          </cell>
          <cell r="D5">
            <v>13</v>
          </cell>
          <cell r="E5">
            <v>34</v>
          </cell>
        </row>
        <row r="6">
          <cell r="A6">
            <v>45665</v>
          </cell>
          <cell r="B6">
            <v>135</v>
          </cell>
          <cell r="C6">
            <v>58</v>
          </cell>
          <cell r="D6">
            <v>11</v>
          </cell>
          <cell r="E6">
            <v>35</v>
          </cell>
        </row>
        <row r="7">
          <cell r="A7">
            <v>45666</v>
          </cell>
          <cell r="B7">
            <v>148</v>
          </cell>
          <cell r="C7">
            <v>58</v>
          </cell>
          <cell r="D7">
            <v>35</v>
          </cell>
          <cell r="E7">
            <v>43</v>
          </cell>
        </row>
      </sheetData>
      <sheetData sheetId="6"/>
      <sheetData sheetId="7"/>
      <sheetData sheetId="8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abuser" refreshedDate="43532.512713310185" createdVersion="6" refreshedVersion="6" minRefreshableVersion="3" recordCount="29" xr:uid="{08B72039-5352-49F3-8C28-BC72CFDD421B}">
  <cacheSource type="worksheet">
    <worksheetSource ref="A6:H35" sheet="Data"/>
  </cacheSource>
  <cacheFields count="8">
    <cacheField name="Date" numFmtId="170">
      <sharedItems containsSemiMixedTypes="0" containsNonDate="0" containsDate="1" containsString="0" minDate="2007-12-15T00:00:00" maxDate="2008-03-09T00:00:00"/>
    </cacheField>
    <cacheField name="Weekday" numFmtId="170">
      <sharedItems/>
    </cacheField>
    <cacheField name="Region" numFmtId="0">
      <sharedItems count="3">
        <s v="Central"/>
        <s v="West"/>
        <s v="East"/>
      </sharedItems>
    </cacheField>
    <cacheField name="Employee" numFmtId="0">
      <sharedItems count="8">
        <s v="Jones"/>
        <s v="Kivell"/>
        <s v="Howard"/>
        <s v="Gill"/>
        <s v="Anderson"/>
        <s v="Wilson"/>
        <s v="Parent"/>
        <s v="Smith"/>
      </sharedItems>
    </cacheField>
    <cacheField name="Item" numFmtId="0">
      <sharedItems count="7">
        <s v="Pen Set"/>
        <s v="Binder"/>
        <s v="Pen &amp; Pencil"/>
        <s v="Pen"/>
        <s v="Paper"/>
        <s v="Desk"/>
        <s v="File Folder" u="1"/>
      </sharedItems>
    </cacheField>
    <cacheField name="Units" numFmtId="0">
      <sharedItems containsSemiMixedTypes="0" containsString="0" containsNumber="1" containsInteger="1" minValue="2" maxValue="700"/>
    </cacheField>
    <cacheField name="Unit Cost" numFmtId="44">
      <sharedItems containsSemiMixedTypes="0" containsString="0" containsNumber="1" minValue="1.29" maxValue="125"/>
    </cacheField>
    <cacheField name="Total" numFmtId="44">
      <sharedItems containsSemiMixedTypes="0" containsString="0" containsNumber="1" minValue="11.94" maxValue="387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">
  <r>
    <d v="2007-12-15T00:00:00"/>
    <s v="Saturday"/>
    <x v="0"/>
    <x v="0"/>
    <x v="0"/>
    <n v="700"/>
    <n v="1.99"/>
    <n v="1393"/>
  </r>
  <r>
    <d v="2007-12-18T00:00:00"/>
    <s v="Tuesday"/>
    <x v="1"/>
    <x v="1"/>
    <x v="1"/>
    <n v="85"/>
    <n v="19.989999999999998"/>
    <n v="1699.1499999999999"/>
  </r>
  <r>
    <d v="2007-12-21T00:00:00"/>
    <s v="Friday"/>
    <x v="0"/>
    <x v="2"/>
    <x v="2"/>
    <n v="62"/>
    <n v="4.99"/>
    <n v="309.38"/>
  </r>
  <r>
    <d v="2007-12-24T00:00:00"/>
    <s v="Monday"/>
    <x v="2"/>
    <x v="3"/>
    <x v="3"/>
    <n v="58"/>
    <n v="19.989999999999998"/>
    <n v="1159.4199999999998"/>
  </r>
  <r>
    <d v="2007-12-27T00:00:00"/>
    <s v="Thursday"/>
    <x v="2"/>
    <x v="4"/>
    <x v="1"/>
    <n v="10"/>
    <n v="4.99"/>
    <n v="49.900000000000006"/>
  </r>
  <r>
    <d v="2007-12-30T00:00:00"/>
    <s v="Sunday"/>
    <x v="2"/>
    <x v="4"/>
    <x v="0"/>
    <n v="19"/>
    <n v="2.99"/>
    <n v="56.81"/>
  </r>
  <r>
    <d v="2008-01-02T00:00:00"/>
    <s v="Wednesday"/>
    <x v="2"/>
    <x v="4"/>
    <x v="0"/>
    <n v="6"/>
    <n v="1.99"/>
    <n v="11.94"/>
  </r>
  <r>
    <d v="2008-01-05T00:00:00"/>
    <s v="Saturday"/>
    <x v="0"/>
    <x v="2"/>
    <x v="2"/>
    <n v="10"/>
    <n v="4.99"/>
    <n v="49.900000000000006"/>
  </r>
  <r>
    <d v="2008-01-08T00:00:00"/>
    <s v="Tuesday"/>
    <x v="1"/>
    <x v="5"/>
    <x v="4"/>
    <n v="39"/>
    <n v="1.99"/>
    <n v="77.61"/>
  </r>
  <r>
    <d v="2008-01-11T00:00:00"/>
    <s v="Friday"/>
    <x v="1"/>
    <x v="5"/>
    <x v="1"/>
    <n v="2"/>
    <n v="8.99"/>
    <n v="17.98"/>
  </r>
  <r>
    <d v="2008-01-14T00:00:00"/>
    <s v="Monday"/>
    <x v="1"/>
    <x v="5"/>
    <x v="2"/>
    <n v="80"/>
    <n v="4.99"/>
    <n v="399.20000000000005"/>
  </r>
  <r>
    <d v="2008-01-17T00:00:00"/>
    <s v="Thursday"/>
    <x v="1"/>
    <x v="5"/>
    <x v="1"/>
    <n v="51"/>
    <n v="1.99"/>
    <n v="101.49"/>
  </r>
  <r>
    <d v="2008-01-20T00:00:00"/>
    <s v="Sunday"/>
    <x v="1"/>
    <x v="5"/>
    <x v="1"/>
    <n v="10"/>
    <n v="19.989999999999998"/>
    <n v="199.89999999999998"/>
  </r>
  <r>
    <d v="2008-01-23T00:00:00"/>
    <s v="Wednesday"/>
    <x v="1"/>
    <x v="5"/>
    <x v="0"/>
    <n v="15"/>
    <n v="4.99"/>
    <n v="74.850000000000009"/>
  </r>
  <r>
    <d v="2008-01-26T00:00:00"/>
    <s v="Saturday"/>
    <x v="1"/>
    <x v="5"/>
    <x v="5"/>
    <n v="31"/>
    <n v="125"/>
    <n v="3875"/>
  </r>
  <r>
    <d v="2008-01-29T00:00:00"/>
    <s v="Tuesday"/>
    <x v="0"/>
    <x v="0"/>
    <x v="0"/>
    <n v="46"/>
    <n v="15.99"/>
    <n v="735.54"/>
  </r>
  <r>
    <d v="2008-02-01T00:00:00"/>
    <s v="Friday"/>
    <x v="1"/>
    <x v="1"/>
    <x v="1"/>
    <n v="61"/>
    <n v="8.99"/>
    <n v="548.39"/>
  </r>
  <r>
    <d v="2008-02-04T00:00:00"/>
    <s v="Monday"/>
    <x v="0"/>
    <x v="0"/>
    <x v="3"/>
    <n v="90"/>
    <n v="8.99"/>
    <n v="809.1"/>
  </r>
  <r>
    <d v="2008-02-07T00:00:00"/>
    <s v="Thursday"/>
    <x v="2"/>
    <x v="6"/>
    <x v="3"/>
    <n v="43"/>
    <n v="19.989999999999998"/>
    <n v="859.56999999999994"/>
  </r>
  <r>
    <d v="2008-02-10T00:00:00"/>
    <s v="Sunday"/>
    <x v="1"/>
    <x v="1"/>
    <x v="0"/>
    <n v="32"/>
    <n v="4.99"/>
    <n v="159.68"/>
  </r>
  <r>
    <d v="2008-02-13T00:00:00"/>
    <s v="Wednesday"/>
    <x v="1"/>
    <x v="7"/>
    <x v="0"/>
    <n v="37"/>
    <n v="1.29"/>
    <n v="47.730000000000004"/>
  </r>
  <r>
    <d v="2008-02-16T00:00:00"/>
    <s v="Saturday"/>
    <x v="2"/>
    <x v="6"/>
    <x v="0"/>
    <n v="26"/>
    <n v="15.99"/>
    <n v="415.74"/>
  </r>
  <r>
    <d v="2008-02-19T00:00:00"/>
    <s v="Tuesday"/>
    <x v="2"/>
    <x v="3"/>
    <x v="1"/>
    <n v="79"/>
    <n v="8.99"/>
    <n v="710.21"/>
  </r>
  <r>
    <d v="2008-02-22T00:00:00"/>
    <s v="Friday"/>
    <x v="1"/>
    <x v="7"/>
    <x v="0"/>
    <n v="72"/>
    <n v="15"/>
    <n v="1080"/>
  </r>
  <r>
    <d v="2008-02-25T00:00:00"/>
    <s v="Monday"/>
    <x v="0"/>
    <x v="0"/>
    <x v="0"/>
    <n v="27"/>
    <n v="4.99"/>
    <n v="134.73000000000002"/>
  </r>
  <r>
    <d v="2008-02-28T00:00:00"/>
    <s v="Thursday"/>
    <x v="0"/>
    <x v="0"/>
    <x v="1"/>
    <n v="5"/>
    <n v="19.989999999999998"/>
    <n v="99.949999999999989"/>
  </r>
  <r>
    <d v="2008-03-02T00:00:00"/>
    <s v="Sunday"/>
    <x v="0"/>
    <x v="2"/>
    <x v="0"/>
    <n v="59"/>
    <n v="4.99"/>
    <n v="294.41000000000003"/>
  </r>
  <r>
    <d v="2008-03-05T00:00:00"/>
    <s v="Wednesday"/>
    <x v="2"/>
    <x v="3"/>
    <x v="0"/>
    <n v="41"/>
    <n v="1.99"/>
    <n v="81.59"/>
  </r>
  <r>
    <d v="2008-03-08T00:00:00"/>
    <s v="Saturday"/>
    <x v="0"/>
    <x v="2"/>
    <x v="3"/>
    <n v="85"/>
    <n v="4.99"/>
    <n v="424.1500000000000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F4A71A-7984-40A0-87A6-553C83BD34F1}" name="PivotTable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C10:L27" firstHeaderRow="1" firstDataRow="2" firstDataCol="1"/>
  <pivotFields count="8">
    <pivotField numFmtId="170" showAll="0"/>
    <pivotField showAll="0"/>
    <pivotField axis="axisRow" showAll="0">
      <items count="4">
        <item x="0"/>
        <item x="2"/>
        <item x="1"/>
        <item t="default"/>
      </items>
    </pivotField>
    <pivotField axis="axisCol" showAll="0">
      <items count="9">
        <item x="4"/>
        <item x="3"/>
        <item x="2"/>
        <item x="0"/>
        <item x="1"/>
        <item x="6"/>
        <item x="7"/>
        <item x="5"/>
        <item t="default"/>
      </items>
    </pivotField>
    <pivotField axis="axisRow" showAll="0">
      <items count="8">
        <item x="1"/>
        <item x="5"/>
        <item m="1" x="6"/>
        <item x="4"/>
        <item x="3"/>
        <item x="2"/>
        <item x="0"/>
        <item t="default"/>
      </items>
    </pivotField>
    <pivotField dataField="1" showAll="0"/>
    <pivotField numFmtId="44" showAll="0"/>
    <pivotField numFmtId="44" showAll="0"/>
  </pivotFields>
  <rowFields count="2">
    <field x="2"/>
    <field x="4"/>
  </rowFields>
  <rowItems count="16">
    <i>
      <x/>
    </i>
    <i r="1">
      <x/>
    </i>
    <i r="1">
      <x v="4"/>
    </i>
    <i r="1">
      <x v="5"/>
    </i>
    <i r="1">
      <x v="6"/>
    </i>
    <i>
      <x v="1"/>
    </i>
    <i r="1">
      <x/>
    </i>
    <i r="1">
      <x v="4"/>
    </i>
    <i r="1">
      <x v="6"/>
    </i>
    <i>
      <x v="2"/>
    </i>
    <i r="1">
      <x/>
    </i>
    <i r="1">
      <x v="1"/>
    </i>
    <i r="1">
      <x v="3"/>
    </i>
    <i r="1">
      <x v="5"/>
    </i>
    <i r="1">
      <x v="6"/>
    </i>
    <i t="grand">
      <x/>
    </i>
  </rowItems>
  <colFields count="1">
    <field x="3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Sum of Units" fld="5" baseField="0" baseItem="0"/>
  </dataFields>
  <pivotTableStyleInfo name="PivotStyleMedium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48262DD-89F4-4A73-AB8F-DEC54A60EEDF}" name="Table2" displayName="Table2" ref="A6:H35" totalsRowShown="0" headerRowCellStyle="Normal 4" dataCellStyle="Normal 4">
  <autoFilter ref="A6:H35" xr:uid="{048262DD-89F4-4A73-AB8F-DEC54A60EEDF}"/>
  <tableColumns count="8">
    <tableColumn id="1" xr3:uid="{0703BF03-8F55-4A35-9FCC-9C53E7A23831}" name="Date" dataCellStyle="Normal 4"/>
    <tableColumn id="2" xr3:uid="{30D0A396-6F03-4728-B97A-6331E62C61E1}" name="Weekday" dataCellStyle="Normal 4">
      <calculatedColumnFormula>TEXT(A7,"dddd")</calculatedColumnFormula>
    </tableColumn>
    <tableColumn id="3" xr3:uid="{6C2933BF-0323-4056-928D-B513FB23BDAC}" name="Region" dataCellStyle="Normal 4"/>
    <tableColumn id="4" xr3:uid="{21EF9618-CE2A-45C4-A79F-0E7C522DC78F}" name="Employee" dataCellStyle="Normal 4"/>
    <tableColumn id="5" xr3:uid="{0239160E-1C1F-47CC-A842-29942F3DA807}" name="Item" dataCellStyle="Normal 4"/>
    <tableColumn id="6" xr3:uid="{6CE39EE6-51FA-4F06-B370-38ADF4CAE31E}" name="Units" dataCellStyle="Normal 4"/>
    <tableColumn id="7" xr3:uid="{46082667-E83D-45DE-9218-BCEB00C10E17}" name="Unit Cost" dataCellStyle="Normal 4"/>
    <tableColumn id="8" xr3:uid="{F9B8681C-0935-4A89-8609-288A5B3E1974}" name="Total" dataCellStyle="Normal 4">
      <calculatedColumnFormula>G7*F7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6:H35"/>
  <sheetViews>
    <sheetView workbookViewId="0">
      <selection activeCell="M19" sqref="M19"/>
    </sheetView>
  </sheetViews>
  <sheetFormatPr defaultRowHeight="13.2" x14ac:dyDescent="0.25"/>
  <cols>
    <col min="1" max="1" width="9.5546875" bestFit="1" customWidth="1"/>
    <col min="2" max="2" width="14" bestFit="1" customWidth="1"/>
    <col min="3" max="3" width="9.5546875" bestFit="1" customWidth="1"/>
    <col min="4" max="4" width="12.44140625" bestFit="1" customWidth="1"/>
    <col min="5" max="5" width="11.5546875" bestFit="1" customWidth="1"/>
    <col min="6" max="6" width="8.5546875" bestFit="1" customWidth="1"/>
    <col min="7" max="7" width="12.44140625" bestFit="1" customWidth="1"/>
    <col min="8" max="8" width="13.44140625" customWidth="1"/>
  </cols>
  <sheetData>
    <row r="6" spans="1:8" ht="14.4" x14ac:dyDescent="0.3">
      <c r="A6" s="23" t="s">
        <v>0</v>
      </c>
      <c r="B6" s="23" t="s">
        <v>1</v>
      </c>
      <c r="C6" s="23" t="s">
        <v>2</v>
      </c>
      <c r="D6" s="23" t="s">
        <v>3</v>
      </c>
      <c r="E6" s="23" t="s">
        <v>4</v>
      </c>
      <c r="F6" s="23" t="s">
        <v>5</v>
      </c>
      <c r="G6" s="23" t="s">
        <v>6</v>
      </c>
      <c r="H6" s="23" t="s">
        <v>7</v>
      </c>
    </row>
    <row r="7" spans="1:8" ht="14.4" x14ac:dyDescent="0.3">
      <c r="A7" s="23">
        <v>39431</v>
      </c>
      <c r="B7" s="23" t="str">
        <f t="shared" ref="B7:B35" si="0">TEXT(A7,"dddd")</f>
        <v>Saturday</v>
      </c>
      <c r="C7" s="23" t="s">
        <v>8</v>
      </c>
      <c r="D7" s="23" t="s">
        <v>9</v>
      </c>
      <c r="E7" s="23" t="s">
        <v>10</v>
      </c>
      <c r="F7" s="23">
        <v>700</v>
      </c>
      <c r="G7" s="23">
        <v>1.99</v>
      </c>
      <c r="H7" s="23">
        <f t="shared" ref="H7:H35" si="1">G7*F7</f>
        <v>1393</v>
      </c>
    </row>
    <row r="8" spans="1:8" ht="14.4" x14ac:dyDescent="0.3">
      <c r="A8" s="23">
        <v>39434</v>
      </c>
      <c r="B8" s="23" t="str">
        <f t="shared" si="0"/>
        <v>Tuesday</v>
      </c>
      <c r="C8" s="23" t="s">
        <v>11</v>
      </c>
      <c r="D8" s="23" t="s">
        <v>12</v>
      </c>
      <c r="E8" s="23" t="s">
        <v>13</v>
      </c>
      <c r="F8" s="23">
        <v>85</v>
      </c>
      <c r="G8" s="23">
        <v>19.989999999999998</v>
      </c>
      <c r="H8" s="23">
        <f t="shared" si="1"/>
        <v>1699.1499999999999</v>
      </c>
    </row>
    <row r="9" spans="1:8" ht="14.4" x14ac:dyDescent="0.3">
      <c r="A9" s="23">
        <v>39437</v>
      </c>
      <c r="B9" s="23" t="str">
        <f t="shared" si="0"/>
        <v>Friday</v>
      </c>
      <c r="C9" s="23" t="s">
        <v>8</v>
      </c>
      <c r="D9" s="23" t="s">
        <v>14</v>
      </c>
      <c r="E9" s="23" t="s">
        <v>15</v>
      </c>
      <c r="F9" s="23">
        <v>62</v>
      </c>
      <c r="G9" s="23">
        <v>4.99</v>
      </c>
      <c r="H9" s="23">
        <f>G9*F9</f>
        <v>309.38</v>
      </c>
    </row>
    <row r="10" spans="1:8" ht="14.4" x14ac:dyDescent="0.3">
      <c r="A10" s="23">
        <v>39440</v>
      </c>
      <c r="B10" s="23" t="str">
        <f t="shared" si="0"/>
        <v>Monday</v>
      </c>
      <c r="C10" s="23" t="s">
        <v>16</v>
      </c>
      <c r="D10" s="23" t="s">
        <v>17</v>
      </c>
      <c r="E10" s="23" t="s">
        <v>18</v>
      </c>
      <c r="F10" s="23">
        <v>58</v>
      </c>
      <c r="G10" s="23">
        <v>19.989999999999998</v>
      </c>
      <c r="H10" s="23">
        <f t="shared" si="1"/>
        <v>1159.4199999999998</v>
      </c>
    </row>
    <row r="11" spans="1:8" ht="14.4" x14ac:dyDescent="0.3">
      <c r="A11" s="23">
        <v>39443</v>
      </c>
      <c r="B11" s="23" t="str">
        <f t="shared" si="0"/>
        <v>Thursday</v>
      </c>
      <c r="C11" s="23" t="s">
        <v>16</v>
      </c>
      <c r="D11" s="23" t="s">
        <v>19</v>
      </c>
      <c r="E11" s="23" t="s">
        <v>13</v>
      </c>
      <c r="F11" s="23">
        <v>10</v>
      </c>
      <c r="G11" s="23">
        <v>4.99</v>
      </c>
      <c r="H11" s="23">
        <f t="shared" si="1"/>
        <v>49.900000000000006</v>
      </c>
    </row>
    <row r="12" spans="1:8" ht="14.4" x14ac:dyDescent="0.3">
      <c r="A12" s="23">
        <v>39446</v>
      </c>
      <c r="B12" s="23" t="str">
        <f t="shared" si="0"/>
        <v>Sunday</v>
      </c>
      <c r="C12" s="23" t="s">
        <v>16</v>
      </c>
      <c r="D12" s="23" t="s">
        <v>19</v>
      </c>
      <c r="E12" s="23" t="s">
        <v>10</v>
      </c>
      <c r="F12" s="23">
        <v>19</v>
      </c>
      <c r="G12" s="23">
        <v>2.99</v>
      </c>
      <c r="H12" s="23">
        <f t="shared" si="1"/>
        <v>56.81</v>
      </c>
    </row>
    <row r="13" spans="1:8" ht="14.4" x14ac:dyDescent="0.3">
      <c r="A13" s="23">
        <v>39449</v>
      </c>
      <c r="B13" s="23" t="str">
        <f t="shared" si="0"/>
        <v>Wednesday</v>
      </c>
      <c r="C13" s="23" t="s">
        <v>16</v>
      </c>
      <c r="D13" s="23" t="s">
        <v>19</v>
      </c>
      <c r="E13" s="23" t="s">
        <v>10</v>
      </c>
      <c r="F13" s="23">
        <v>6</v>
      </c>
      <c r="G13" s="23">
        <v>1.99</v>
      </c>
      <c r="H13" s="23">
        <f t="shared" si="1"/>
        <v>11.94</v>
      </c>
    </row>
    <row r="14" spans="1:8" ht="14.4" x14ac:dyDescent="0.3">
      <c r="A14" s="23">
        <v>39452</v>
      </c>
      <c r="B14" s="23" t="str">
        <f t="shared" si="0"/>
        <v>Saturday</v>
      </c>
      <c r="C14" s="23" t="s">
        <v>8</v>
      </c>
      <c r="D14" s="23" t="s">
        <v>14</v>
      </c>
      <c r="E14" s="23" t="s">
        <v>15</v>
      </c>
      <c r="F14" s="23">
        <v>10</v>
      </c>
      <c r="G14" s="23">
        <v>4.99</v>
      </c>
      <c r="H14" s="23">
        <f t="shared" si="1"/>
        <v>49.900000000000006</v>
      </c>
    </row>
    <row r="15" spans="1:8" ht="14.4" x14ac:dyDescent="0.3">
      <c r="A15" s="23">
        <v>39455</v>
      </c>
      <c r="B15" s="23" t="str">
        <f t="shared" si="0"/>
        <v>Tuesday</v>
      </c>
      <c r="C15" s="23" t="s">
        <v>11</v>
      </c>
      <c r="D15" s="23" t="s">
        <v>20</v>
      </c>
      <c r="E15" s="23" t="s">
        <v>21</v>
      </c>
      <c r="F15" s="23">
        <v>39</v>
      </c>
      <c r="G15" s="23">
        <v>1.99</v>
      </c>
      <c r="H15" s="23">
        <f t="shared" si="1"/>
        <v>77.61</v>
      </c>
    </row>
    <row r="16" spans="1:8" ht="14.4" x14ac:dyDescent="0.3">
      <c r="A16" s="23">
        <v>39458</v>
      </c>
      <c r="B16" s="23" t="str">
        <f t="shared" si="0"/>
        <v>Friday</v>
      </c>
      <c r="C16" s="23" t="s">
        <v>11</v>
      </c>
      <c r="D16" s="23" t="s">
        <v>20</v>
      </c>
      <c r="E16" s="23" t="s">
        <v>13</v>
      </c>
      <c r="F16" s="23">
        <v>2</v>
      </c>
      <c r="G16" s="23">
        <v>8.99</v>
      </c>
      <c r="H16" s="23">
        <f t="shared" si="1"/>
        <v>17.98</v>
      </c>
    </row>
    <row r="17" spans="1:8" ht="14.4" x14ac:dyDescent="0.3">
      <c r="A17" s="23">
        <v>39461</v>
      </c>
      <c r="B17" s="23" t="str">
        <f t="shared" si="0"/>
        <v>Monday</v>
      </c>
      <c r="C17" s="23" t="s">
        <v>11</v>
      </c>
      <c r="D17" s="23" t="s">
        <v>20</v>
      </c>
      <c r="E17" s="23" t="s">
        <v>15</v>
      </c>
      <c r="F17" s="23">
        <v>80</v>
      </c>
      <c r="G17" s="23">
        <v>4.99</v>
      </c>
      <c r="H17" s="23">
        <f t="shared" si="1"/>
        <v>399.20000000000005</v>
      </c>
    </row>
    <row r="18" spans="1:8" ht="14.4" x14ac:dyDescent="0.3">
      <c r="A18" s="23">
        <v>39464</v>
      </c>
      <c r="B18" s="23" t="str">
        <f t="shared" si="0"/>
        <v>Thursday</v>
      </c>
      <c r="C18" s="23" t="s">
        <v>11</v>
      </c>
      <c r="D18" s="23" t="s">
        <v>20</v>
      </c>
      <c r="E18" s="23" t="s">
        <v>13</v>
      </c>
      <c r="F18" s="23">
        <v>51</v>
      </c>
      <c r="G18" s="23">
        <v>1.99</v>
      </c>
      <c r="H18" s="23">
        <f t="shared" si="1"/>
        <v>101.49</v>
      </c>
    </row>
    <row r="19" spans="1:8" ht="14.4" x14ac:dyDescent="0.3">
      <c r="A19" s="23">
        <v>39467</v>
      </c>
      <c r="B19" s="23" t="str">
        <f t="shared" si="0"/>
        <v>Sunday</v>
      </c>
      <c r="C19" s="23" t="s">
        <v>11</v>
      </c>
      <c r="D19" s="23" t="s">
        <v>20</v>
      </c>
      <c r="E19" s="23" t="s">
        <v>13</v>
      </c>
      <c r="F19" s="23">
        <v>10</v>
      </c>
      <c r="G19" s="23">
        <v>19.989999999999998</v>
      </c>
      <c r="H19" s="23">
        <f t="shared" si="1"/>
        <v>199.89999999999998</v>
      </c>
    </row>
    <row r="20" spans="1:8" ht="14.4" x14ac:dyDescent="0.3">
      <c r="A20" s="23">
        <v>39470</v>
      </c>
      <c r="B20" s="23" t="str">
        <f t="shared" si="0"/>
        <v>Wednesday</v>
      </c>
      <c r="C20" s="23" t="s">
        <v>11</v>
      </c>
      <c r="D20" s="23" t="s">
        <v>20</v>
      </c>
      <c r="E20" s="23" t="s">
        <v>10</v>
      </c>
      <c r="F20" s="23">
        <v>15</v>
      </c>
      <c r="G20" s="23">
        <v>4.99</v>
      </c>
      <c r="H20" s="23">
        <f t="shared" si="1"/>
        <v>74.850000000000009</v>
      </c>
    </row>
    <row r="21" spans="1:8" ht="14.4" x14ac:dyDescent="0.3">
      <c r="A21" s="23">
        <v>39473</v>
      </c>
      <c r="B21" s="23" t="str">
        <f t="shared" si="0"/>
        <v>Saturday</v>
      </c>
      <c r="C21" s="23" t="s">
        <v>11</v>
      </c>
      <c r="D21" s="23" t="s">
        <v>20</v>
      </c>
      <c r="E21" s="23" t="s">
        <v>22</v>
      </c>
      <c r="F21" s="23">
        <v>31</v>
      </c>
      <c r="G21" s="23">
        <v>125</v>
      </c>
      <c r="H21" s="23">
        <f t="shared" si="1"/>
        <v>3875</v>
      </c>
    </row>
    <row r="22" spans="1:8" ht="14.4" x14ac:dyDescent="0.3">
      <c r="A22" s="23">
        <v>39476</v>
      </c>
      <c r="B22" s="23" t="str">
        <f t="shared" si="0"/>
        <v>Tuesday</v>
      </c>
      <c r="C22" s="23" t="s">
        <v>8</v>
      </c>
      <c r="D22" s="23" t="s">
        <v>9</v>
      </c>
      <c r="E22" s="23" t="s">
        <v>10</v>
      </c>
      <c r="F22" s="23">
        <v>46</v>
      </c>
      <c r="G22" s="23">
        <v>15.99</v>
      </c>
      <c r="H22" s="23">
        <f t="shared" si="1"/>
        <v>735.54</v>
      </c>
    </row>
    <row r="23" spans="1:8" ht="14.4" x14ac:dyDescent="0.3">
      <c r="A23" s="23">
        <v>39479</v>
      </c>
      <c r="B23" s="23" t="str">
        <f t="shared" si="0"/>
        <v>Friday</v>
      </c>
      <c r="C23" s="23" t="s">
        <v>11</v>
      </c>
      <c r="D23" s="23" t="s">
        <v>12</v>
      </c>
      <c r="E23" s="23" t="s">
        <v>13</v>
      </c>
      <c r="F23" s="23">
        <v>61</v>
      </c>
      <c r="G23" s="23">
        <v>8.99</v>
      </c>
      <c r="H23" s="23">
        <f t="shared" si="1"/>
        <v>548.39</v>
      </c>
    </row>
    <row r="24" spans="1:8" ht="14.4" x14ac:dyDescent="0.3">
      <c r="A24" s="23">
        <v>39482</v>
      </c>
      <c r="B24" s="23" t="str">
        <f t="shared" si="0"/>
        <v>Monday</v>
      </c>
      <c r="C24" s="23" t="s">
        <v>8</v>
      </c>
      <c r="D24" s="23" t="s">
        <v>9</v>
      </c>
      <c r="E24" s="23" t="s">
        <v>18</v>
      </c>
      <c r="F24" s="23">
        <v>90</v>
      </c>
      <c r="G24" s="23">
        <v>8.99</v>
      </c>
      <c r="H24" s="23">
        <f t="shared" si="1"/>
        <v>809.1</v>
      </c>
    </row>
    <row r="25" spans="1:8" ht="14.4" x14ac:dyDescent="0.3">
      <c r="A25" s="23">
        <v>39485</v>
      </c>
      <c r="B25" s="23" t="str">
        <f t="shared" si="0"/>
        <v>Thursday</v>
      </c>
      <c r="C25" s="23" t="s">
        <v>16</v>
      </c>
      <c r="D25" s="23" t="s">
        <v>23</v>
      </c>
      <c r="E25" s="23" t="s">
        <v>18</v>
      </c>
      <c r="F25" s="23">
        <v>43</v>
      </c>
      <c r="G25" s="23">
        <v>19.989999999999998</v>
      </c>
      <c r="H25" s="23">
        <f t="shared" si="1"/>
        <v>859.56999999999994</v>
      </c>
    </row>
    <row r="26" spans="1:8" ht="14.4" x14ac:dyDescent="0.3">
      <c r="A26" s="23">
        <v>39488</v>
      </c>
      <c r="B26" s="23" t="str">
        <f t="shared" si="0"/>
        <v>Sunday</v>
      </c>
      <c r="C26" s="23" t="s">
        <v>11</v>
      </c>
      <c r="D26" s="23" t="s">
        <v>12</v>
      </c>
      <c r="E26" s="23" t="s">
        <v>10</v>
      </c>
      <c r="F26" s="23">
        <v>32</v>
      </c>
      <c r="G26" s="23">
        <v>4.99</v>
      </c>
      <c r="H26" s="23">
        <f t="shared" si="1"/>
        <v>159.68</v>
      </c>
    </row>
    <row r="27" spans="1:8" ht="14.4" x14ac:dyDescent="0.3">
      <c r="A27" s="23">
        <v>39491</v>
      </c>
      <c r="B27" s="23" t="str">
        <f t="shared" si="0"/>
        <v>Wednesday</v>
      </c>
      <c r="C27" s="23" t="s">
        <v>11</v>
      </c>
      <c r="D27" s="23" t="s">
        <v>24</v>
      </c>
      <c r="E27" s="23" t="s">
        <v>10</v>
      </c>
      <c r="F27" s="23">
        <v>37</v>
      </c>
      <c r="G27" s="23">
        <v>1.29</v>
      </c>
      <c r="H27" s="23">
        <f t="shared" si="1"/>
        <v>47.730000000000004</v>
      </c>
    </row>
    <row r="28" spans="1:8" ht="14.4" x14ac:dyDescent="0.3">
      <c r="A28" s="23">
        <v>39494</v>
      </c>
      <c r="B28" s="23" t="str">
        <f t="shared" si="0"/>
        <v>Saturday</v>
      </c>
      <c r="C28" s="23" t="s">
        <v>16</v>
      </c>
      <c r="D28" s="23" t="s">
        <v>23</v>
      </c>
      <c r="E28" s="23" t="s">
        <v>10</v>
      </c>
      <c r="F28" s="23">
        <v>26</v>
      </c>
      <c r="G28" s="23">
        <v>15.99</v>
      </c>
      <c r="H28" s="23">
        <f t="shared" si="1"/>
        <v>415.74</v>
      </c>
    </row>
    <row r="29" spans="1:8" ht="14.4" x14ac:dyDescent="0.3">
      <c r="A29" s="23">
        <v>39497</v>
      </c>
      <c r="B29" s="23" t="str">
        <f t="shared" si="0"/>
        <v>Tuesday</v>
      </c>
      <c r="C29" s="23" t="s">
        <v>16</v>
      </c>
      <c r="D29" s="23" t="s">
        <v>17</v>
      </c>
      <c r="E29" s="23" t="s">
        <v>13</v>
      </c>
      <c r="F29" s="23">
        <v>79</v>
      </c>
      <c r="G29" s="23">
        <v>8.99</v>
      </c>
      <c r="H29" s="23">
        <f t="shared" si="1"/>
        <v>710.21</v>
      </c>
    </row>
    <row r="30" spans="1:8" ht="14.4" x14ac:dyDescent="0.3">
      <c r="A30" s="23">
        <v>39500</v>
      </c>
      <c r="B30" s="23" t="str">
        <f t="shared" si="0"/>
        <v>Friday</v>
      </c>
      <c r="C30" s="23" t="s">
        <v>11</v>
      </c>
      <c r="D30" s="23" t="s">
        <v>24</v>
      </c>
      <c r="E30" s="23" t="s">
        <v>10</v>
      </c>
      <c r="F30" s="23">
        <v>72</v>
      </c>
      <c r="G30" s="23">
        <v>15</v>
      </c>
      <c r="H30" s="23">
        <f t="shared" si="1"/>
        <v>1080</v>
      </c>
    </row>
    <row r="31" spans="1:8" ht="14.4" x14ac:dyDescent="0.3">
      <c r="A31" s="23">
        <v>39503</v>
      </c>
      <c r="B31" s="23" t="str">
        <f t="shared" si="0"/>
        <v>Monday</v>
      </c>
      <c r="C31" s="23" t="s">
        <v>8</v>
      </c>
      <c r="D31" s="23" t="s">
        <v>9</v>
      </c>
      <c r="E31" s="23" t="s">
        <v>10</v>
      </c>
      <c r="F31" s="23">
        <v>27</v>
      </c>
      <c r="G31" s="23">
        <v>4.99</v>
      </c>
      <c r="H31" s="23">
        <f t="shared" si="1"/>
        <v>134.73000000000002</v>
      </c>
    </row>
    <row r="32" spans="1:8" ht="14.4" x14ac:dyDescent="0.3">
      <c r="A32" s="23">
        <v>39506</v>
      </c>
      <c r="B32" s="23" t="str">
        <f t="shared" si="0"/>
        <v>Thursday</v>
      </c>
      <c r="C32" s="23" t="s">
        <v>8</v>
      </c>
      <c r="D32" s="23" t="s">
        <v>9</v>
      </c>
      <c r="E32" s="23" t="s">
        <v>13</v>
      </c>
      <c r="F32" s="23">
        <v>5</v>
      </c>
      <c r="G32" s="23">
        <v>19.989999999999998</v>
      </c>
      <c r="H32" s="23">
        <f t="shared" si="1"/>
        <v>99.949999999999989</v>
      </c>
    </row>
    <row r="33" spans="1:8" ht="14.4" x14ac:dyDescent="0.3">
      <c r="A33" s="23">
        <v>39509</v>
      </c>
      <c r="B33" s="23" t="str">
        <f t="shared" si="0"/>
        <v>Sunday</v>
      </c>
      <c r="C33" s="23" t="s">
        <v>8</v>
      </c>
      <c r="D33" s="23" t="s">
        <v>14</v>
      </c>
      <c r="E33" s="23" t="s">
        <v>10</v>
      </c>
      <c r="F33" s="23">
        <v>59</v>
      </c>
      <c r="G33" s="23">
        <v>4.99</v>
      </c>
      <c r="H33" s="23">
        <f t="shared" si="1"/>
        <v>294.41000000000003</v>
      </c>
    </row>
    <row r="34" spans="1:8" ht="14.4" x14ac:dyDescent="0.3">
      <c r="A34" s="23">
        <v>39512</v>
      </c>
      <c r="B34" s="23" t="str">
        <f t="shared" si="0"/>
        <v>Wednesday</v>
      </c>
      <c r="C34" s="23" t="s">
        <v>16</v>
      </c>
      <c r="D34" s="23" t="s">
        <v>17</v>
      </c>
      <c r="E34" s="23" t="s">
        <v>10</v>
      </c>
      <c r="F34" s="23">
        <v>41</v>
      </c>
      <c r="G34" s="23">
        <v>1.99</v>
      </c>
      <c r="H34" s="23">
        <f t="shared" si="1"/>
        <v>81.59</v>
      </c>
    </row>
    <row r="35" spans="1:8" ht="14.4" x14ac:dyDescent="0.3">
      <c r="A35" s="23">
        <v>39515</v>
      </c>
      <c r="B35" s="23" t="str">
        <f t="shared" si="0"/>
        <v>Saturday</v>
      </c>
      <c r="C35" s="23" t="s">
        <v>8</v>
      </c>
      <c r="D35" s="23" t="s">
        <v>14</v>
      </c>
      <c r="E35" s="23" t="s">
        <v>18</v>
      </c>
      <c r="F35" s="23">
        <v>85</v>
      </c>
      <c r="G35" s="23">
        <v>4.99</v>
      </c>
      <c r="H35" s="23">
        <f t="shared" si="1"/>
        <v>424.15000000000003</v>
      </c>
    </row>
  </sheetData>
  <pageMargins left="0.7" right="0.7" top="0.75" bottom="0.75" header="0.3" footer="0.3"/>
  <pageSetup orientation="portrait" cellComments="atEnd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2034B-5363-4A53-869C-00E67BE23915}">
  <dimension ref="A1:P27"/>
  <sheetViews>
    <sheetView workbookViewId="0">
      <selection activeCell="J14" sqref="J14"/>
    </sheetView>
  </sheetViews>
  <sheetFormatPr defaultRowHeight="13.2" x14ac:dyDescent="0.25"/>
  <cols>
    <col min="3" max="3" width="16.44140625" bestFit="1" customWidth="1"/>
    <col min="4" max="4" width="15.5546875" bestFit="1" customWidth="1"/>
    <col min="5" max="5" width="4" bestFit="1" customWidth="1"/>
    <col min="6" max="6" width="7.44140625" bestFit="1" customWidth="1"/>
    <col min="7" max="7" width="5.5546875" bestFit="1" customWidth="1"/>
    <col min="8" max="8" width="5.44140625" bestFit="1" customWidth="1"/>
    <col min="9" max="9" width="6.44140625" bestFit="1" customWidth="1"/>
    <col min="10" max="10" width="5.5546875" bestFit="1" customWidth="1"/>
    <col min="11" max="11" width="6.5546875" bestFit="1" customWidth="1"/>
    <col min="12" max="13" width="10.5546875" bestFit="1" customWidth="1"/>
  </cols>
  <sheetData>
    <row r="1" spans="1:16" ht="12.75" customHeight="1" x14ac:dyDescent="0.25">
      <c r="B1" s="42" t="s">
        <v>29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"/>
      <c r="O1" s="4"/>
      <c r="P1" s="4"/>
    </row>
    <row r="2" spans="1:16" ht="12.75" customHeight="1" x14ac:dyDescent="0.25">
      <c r="A2" s="4"/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"/>
      <c r="O2" s="4"/>
      <c r="P2" s="4"/>
    </row>
    <row r="3" spans="1:16" ht="12.75" customHeight="1" x14ac:dyDescent="0.25">
      <c r="A3" s="4"/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"/>
      <c r="O3" s="4"/>
      <c r="P3" s="4"/>
    </row>
    <row r="4" spans="1:16" ht="12.75" customHeight="1" x14ac:dyDescent="0.25">
      <c r="A4" s="4"/>
      <c r="B4" s="42"/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"/>
      <c r="O4" s="4"/>
      <c r="P4" s="4"/>
    </row>
    <row r="5" spans="1:16" ht="12.75" customHeight="1" x14ac:dyDescent="0.25">
      <c r="B5" s="42"/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"/>
      <c r="O5" s="4"/>
      <c r="P5" s="4"/>
    </row>
    <row r="10" spans="1:16" x14ac:dyDescent="0.25">
      <c r="C10" s="1" t="s">
        <v>28</v>
      </c>
      <c r="D10" s="1" t="s">
        <v>27</v>
      </c>
    </row>
    <row r="11" spans="1:16" x14ac:dyDescent="0.25">
      <c r="C11" s="1" t="s">
        <v>25</v>
      </c>
      <c r="D11" t="s">
        <v>19</v>
      </c>
      <c r="E11" t="s">
        <v>17</v>
      </c>
      <c r="F11" t="s">
        <v>14</v>
      </c>
      <c r="G11" t="s">
        <v>9</v>
      </c>
      <c r="H11" t="s">
        <v>12</v>
      </c>
      <c r="I11" t="s">
        <v>23</v>
      </c>
      <c r="J11" t="s">
        <v>24</v>
      </c>
      <c r="K11" t="s">
        <v>20</v>
      </c>
      <c r="L11" t="s">
        <v>26</v>
      </c>
    </row>
    <row r="12" spans="1:16" x14ac:dyDescent="0.25">
      <c r="C12" s="2" t="s">
        <v>8</v>
      </c>
      <c r="F12">
        <v>216</v>
      </c>
      <c r="G12">
        <v>868</v>
      </c>
      <c r="L12">
        <v>1084</v>
      </c>
    </row>
    <row r="13" spans="1:16" x14ac:dyDescent="0.25">
      <c r="C13" s="3" t="s">
        <v>13</v>
      </c>
      <c r="G13">
        <v>5</v>
      </c>
      <c r="L13">
        <v>5</v>
      </c>
    </row>
    <row r="14" spans="1:16" x14ac:dyDescent="0.25">
      <c r="C14" s="3" t="s">
        <v>18</v>
      </c>
      <c r="F14">
        <v>85</v>
      </c>
      <c r="G14">
        <v>90</v>
      </c>
      <c r="L14">
        <v>175</v>
      </c>
    </row>
    <row r="15" spans="1:16" x14ac:dyDescent="0.25">
      <c r="C15" s="3" t="s">
        <v>15</v>
      </c>
      <c r="F15">
        <v>72</v>
      </c>
      <c r="L15">
        <v>72</v>
      </c>
    </row>
    <row r="16" spans="1:16" x14ac:dyDescent="0.25">
      <c r="C16" s="3" t="s">
        <v>10</v>
      </c>
      <c r="F16">
        <v>59</v>
      </c>
      <c r="G16">
        <v>773</v>
      </c>
      <c r="L16">
        <v>832</v>
      </c>
    </row>
    <row r="17" spans="3:12" x14ac:dyDescent="0.25">
      <c r="C17" s="2" t="s">
        <v>16</v>
      </c>
      <c r="D17">
        <v>35</v>
      </c>
      <c r="E17">
        <v>178</v>
      </c>
      <c r="I17">
        <v>69</v>
      </c>
      <c r="L17">
        <v>282</v>
      </c>
    </row>
    <row r="18" spans="3:12" x14ac:dyDescent="0.25">
      <c r="C18" s="3" t="s">
        <v>13</v>
      </c>
      <c r="D18">
        <v>10</v>
      </c>
      <c r="E18">
        <v>79</v>
      </c>
      <c r="L18">
        <v>89</v>
      </c>
    </row>
    <row r="19" spans="3:12" x14ac:dyDescent="0.25">
      <c r="C19" s="3" t="s">
        <v>18</v>
      </c>
      <c r="E19">
        <v>58</v>
      </c>
      <c r="I19">
        <v>43</v>
      </c>
      <c r="L19">
        <v>101</v>
      </c>
    </row>
    <row r="20" spans="3:12" x14ac:dyDescent="0.25">
      <c r="C20" s="3" t="s">
        <v>10</v>
      </c>
      <c r="D20">
        <v>25</v>
      </c>
      <c r="E20">
        <v>41</v>
      </c>
      <c r="I20">
        <v>26</v>
      </c>
      <c r="L20">
        <v>92</v>
      </c>
    </row>
    <row r="21" spans="3:12" x14ac:dyDescent="0.25">
      <c r="C21" s="2" t="s">
        <v>11</v>
      </c>
      <c r="H21">
        <v>178</v>
      </c>
      <c r="J21">
        <v>109</v>
      </c>
      <c r="K21">
        <v>228</v>
      </c>
      <c r="L21">
        <v>515</v>
      </c>
    </row>
    <row r="22" spans="3:12" x14ac:dyDescent="0.25">
      <c r="C22" s="3" t="s">
        <v>13</v>
      </c>
      <c r="H22">
        <v>146</v>
      </c>
      <c r="K22">
        <v>63</v>
      </c>
      <c r="L22">
        <v>209</v>
      </c>
    </row>
    <row r="23" spans="3:12" x14ac:dyDescent="0.25">
      <c r="C23" s="3" t="s">
        <v>22</v>
      </c>
      <c r="K23">
        <v>31</v>
      </c>
      <c r="L23">
        <v>31</v>
      </c>
    </row>
    <row r="24" spans="3:12" x14ac:dyDescent="0.25">
      <c r="C24" s="3" t="s">
        <v>21</v>
      </c>
      <c r="K24">
        <v>39</v>
      </c>
      <c r="L24">
        <v>39</v>
      </c>
    </row>
    <row r="25" spans="3:12" x14ac:dyDescent="0.25">
      <c r="C25" s="3" t="s">
        <v>15</v>
      </c>
      <c r="K25">
        <v>80</v>
      </c>
      <c r="L25">
        <v>80</v>
      </c>
    </row>
    <row r="26" spans="3:12" x14ac:dyDescent="0.25">
      <c r="C26" s="3" t="s">
        <v>10</v>
      </c>
      <c r="H26">
        <v>32</v>
      </c>
      <c r="J26">
        <v>109</v>
      </c>
      <c r="K26">
        <v>15</v>
      </c>
      <c r="L26">
        <v>156</v>
      </c>
    </row>
    <row r="27" spans="3:12" x14ac:dyDescent="0.25">
      <c r="C27" s="2" t="s">
        <v>26</v>
      </c>
      <c r="D27">
        <v>35</v>
      </c>
      <c r="E27">
        <v>178</v>
      </c>
      <c r="F27">
        <v>216</v>
      </c>
      <c r="G27">
        <v>868</v>
      </c>
      <c r="H27">
        <v>178</v>
      </c>
      <c r="I27">
        <v>69</v>
      </c>
      <c r="J27">
        <v>109</v>
      </c>
      <c r="K27">
        <v>228</v>
      </c>
      <c r="L27">
        <v>1881</v>
      </c>
    </row>
  </sheetData>
  <mergeCells count="1">
    <mergeCell ref="B1:M5"/>
  </mergeCells>
  <pageMargins left="0.7" right="0.7" top="0.75" bottom="0.75" header="0.3" footer="0.3"/>
  <pageSetup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8CE9E-BA7A-43FE-9631-4F5EED3FD2BF}">
  <dimension ref="A1"/>
  <sheetViews>
    <sheetView workbookViewId="0">
      <selection activeCell="G20" sqref="G20"/>
    </sheetView>
  </sheetViews>
  <sheetFormatPr defaultRowHeight="13.2" x14ac:dyDescent="0.25"/>
  <cols>
    <col min="1" max="1" width="11.44140625" customWidth="1"/>
    <col min="2" max="2" width="10" customWidth="1"/>
    <col min="3" max="3" width="10.109375" customWidth="1"/>
    <col min="4" max="4" width="10" customWidth="1"/>
    <col min="5" max="5" width="11.5546875" customWidth="1"/>
    <col min="6" max="6" width="9.44140625" customWidth="1"/>
    <col min="7" max="7" width="9.5546875" customWidth="1"/>
    <col min="8" max="8" width="10.44140625" customWidth="1"/>
  </cols>
  <sheetData/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A2137-92DA-4085-BDB2-BC407715E3DD}">
  <sheetPr>
    <pageSetUpPr fitToPage="1"/>
  </sheetPr>
  <dimension ref="A2:E26"/>
  <sheetViews>
    <sheetView showGridLines="0" topLeftCell="A4" workbookViewId="0">
      <selection activeCell="I5" sqref="I5"/>
    </sheetView>
  </sheetViews>
  <sheetFormatPr defaultColWidth="9.44140625" defaultRowHeight="14.4" x14ac:dyDescent="0.3"/>
  <cols>
    <col min="1" max="1" width="3.5546875" style="5" customWidth="1"/>
    <col min="2" max="2" width="37.44140625" style="5" bestFit="1" customWidth="1"/>
    <col min="3" max="3" width="21.5546875" style="5" customWidth="1"/>
    <col min="4" max="5" width="21.44140625" style="5" customWidth="1"/>
    <col min="6" max="6" width="6.44140625" style="5" customWidth="1"/>
    <col min="7" max="7" width="20.5546875" style="5" customWidth="1"/>
    <col min="8" max="16384" width="9.44140625" style="5"/>
  </cols>
  <sheetData>
    <row r="2" spans="1:5" ht="30.75" customHeight="1" x14ac:dyDescent="0.3"/>
    <row r="3" spans="1:5" ht="25.8" x14ac:dyDescent="0.35">
      <c r="A3" s="6"/>
      <c r="B3" s="7" t="s">
        <v>50</v>
      </c>
      <c r="C3" s="8"/>
      <c r="D3" s="8"/>
      <c r="E3" s="8"/>
    </row>
    <row r="4" spans="1:5" ht="72" customHeight="1" x14ac:dyDescent="0.35">
      <c r="A4" s="6"/>
      <c r="B4" s="9" t="s">
        <v>51</v>
      </c>
      <c r="C4" s="8"/>
      <c r="D4" s="8"/>
      <c r="E4" s="8"/>
    </row>
    <row r="5" spans="1:5" ht="17.25" customHeight="1" x14ac:dyDescent="0.35">
      <c r="A5" s="6"/>
      <c r="B5" s="9"/>
      <c r="C5" s="8"/>
      <c r="D5" s="8"/>
      <c r="E5" s="8"/>
    </row>
    <row r="6" spans="1:5" ht="26.4" thickBot="1" x14ac:dyDescent="0.55000000000000004">
      <c r="A6" s="6"/>
      <c r="B6" s="10" t="s">
        <v>52</v>
      </c>
      <c r="C6" s="8"/>
      <c r="D6" s="8"/>
      <c r="E6" s="8"/>
    </row>
    <row r="7" spans="1:5" ht="25.8" x14ac:dyDescent="0.35">
      <c r="A7" s="6"/>
      <c r="B7" s="11">
        <v>2019</v>
      </c>
      <c r="C7" s="8"/>
      <c r="D7" s="8"/>
      <c r="E7" s="8"/>
    </row>
    <row r="8" spans="1:5" ht="32.25" customHeight="1" x14ac:dyDescent="0.35">
      <c r="A8" s="6"/>
      <c r="B8" s="12"/>
      <c r="C8" s="8"/>
      <c r="D8" s="8"/>
      <c r="E8" s="8"/>
    </row>
    <row r="9" spans="1:5" ht="33" thickBot="1" x14ac:dyDescent="0.65">
      <c r="A9" s="6"/>
      <c r="B9" s="13" t="s">
        <v>30</v>
      </c>
      <c r="C9" s="14" t="s">
        <v>31</v>
      </c>
      <c r="D9" s="14" t="s">
        <v>32</v>
      </c>
      <c r="E9" s="14" t="s">
        <v>33</v>
      </c>
    </row>
    <row r="10" spans="1:5" ht="18" customHeight="1" x14ac:dyDescent="0.35">
      <c r="A10" s="6"/>
      <c r="B10" s="15" t="s">
        <v>34</v>
      </c>
      <c r="C10" s="16">
        <v>80</v>
      </c>
      <c r="D10" s="16">
        <v>70</v>
      </c>
      <c r="E10" s="17">
        <v>10</v>
      </c>
    </row>
    <row r="11" spans="1:5" ht="18" customHeight="1" x14ac:dyDescent="0.35">
      <c r="A11" s="6"/>
      <c r="B11" s="18" t="s">
        <v>35</v>
      </c>
      <c r="C11" s="19">
        <v>38</v>
      </c>
      <c r="D11" s="19">
        <v>38</v>
      </c>
      <c r="E11" s="20">
        <v>0</v>
      </c>
    </row>
    <row r="12" spans="1:5" ht="18" customHeight="1" x14ac:dyDescent="0.35">
      <c r="A12" s="6"/>
      <c r="B12" s="18" t="s">
        <v>36</v>
      </c>
      <c r="C12" s="19">
        <v>65</v>
      </c>
      <c r="D12" s="19">
        <v>78</v>
      </c>
      <c r="E12" s="20">
        <v>-13</v>
      </c>
    </row>
    <row r="13" spans="1:5" ht="18" customHeight="1" x14ac:dyDescent="0.35">
      <c r="A13" s="6"/>
      <c r="B13" s="18" t="s">
        <v>37</v>
      </c>
      <c r="C13" s="19">
        <v>25</v>
      </c>
      <c r="D13" s="19">
        <v>21</v>
      </c>
      <c r="E13" s="20">
        <v>4</v>
      </c>
    </row>
    <row r="14" spans="1:5" ht="18" customHeight="1" x14ac:dyDescent="0.35">
      <c r="A14" s="6"/>
      <c r="B14" s="18" t="s">
        <v>38</v>
      </c>
      <c r="C14" s="19">
        <v>75</v>
      </c>
      <c r="D14" s="19">
        <v>83</v>
      </c>
      <c r="E14" s="20">
        <v>-8</v>
      </c>
    </row>
    <row r="15" spans="1:5" ht="18" customHeight="1" x14ac:dyDescent="0.35">
      <c r="A15" s="6"/>
      <c r="B15" s="18" t="s">
        <v>39</v>
      </c>
      <c r="C15" s="19">
        <v>60</v>
      </c>
      <c r="D15" s="19">
        <v>60</v>
      </c>
      <c r="E15" s="20">
        <v>0</v>
      </c>
    </row>
    <row r="16" spans="1:5" ht="18" customHeight="1" x14ac:dyDescent="0.35">
      <c r="A16" s="6"/>
      <c r="B16" s="18" t="s">
        <v>40</v>
      </c>
      <c r="C16" s="19">
        <v>0</v>
      </c>
      <c r="D16" s="19">
        <v>60</v>
      </c>
      <c r="E16" s="20">
        <v>-60</v>
      </c>
    </row>
    <row r="17" spans="1:5" ht="18" customHeight="1" x14ac:dyDescent="0.35">
      <c r="A17" s="6"/>
      <c r="B17" s="18" t="s">
        <v>41</v>
      </c>
      <c r="C17" s="19">
        <v>180</v>
      </c>
      <c r="D17" s="19">
        <v>150</v>
      </c>
      <c r="E17" s="20">
        <v>30</v>
      </c>
    </row>
    <row r="18" spans="1:5" ht="18" customHeight="1" x14ac:dyDescent="0.35">
      <c r="A18" s="6"/>
      <c r="B18" s="18" t="s">
        <v>42</v>
      </c>
      <c r="C18" s="19">
        <v>250</v>
      </c>
      <c r="D18" s="19">
        <v>250</v>
      </c>
      <c r="E18" s="20">
        <v>0</v>
      </c>
    </row>
    <row r="19" spans="1:5" ht="18" customHeight="1" x14ac:dyDescent="0.35">
      <c r="A19" s="6"/>
      <c r="B19" s="18" t="s">
        <v>43</v>
      </c>
      <c r="C19" s="19">
        <v>75</v>
      </c>
      <c r="D19" s="19">
        <v>80</v>
      </c>
      <c r="E19" s="20">
        <v>-5</v>
      </c>
    </row>
    <row r="20" spans="1:5" ht="18" customHeight="1" x14ac:dyDescent="0.35">
      <c r="A20" s="6"/>
      <c r="B20" s="18" t="s">
        <v>44</v>
      </c>
      <c r="C20" s="19">
        <v>280</v>
      </c>
      <c r="D20" s="19">
        <v>260</v>
      </c>
      <c r="E20" s="20">
        <v>20</v>
      </c>
    </row>
    <row r="21" spans="1:5" ht="18" customHeight="1" x14ac:dyDescent="0.35">
      <c r="A21" s="6"/>
      <c r="B21" s="18" t="s">
        <v>45</v>
      </c>
      <c r="C21" s="19">
        <v>75</v>
      </c>
      <c r="D21" s="19">
        <v>65</v>
      </c>
      <c r="E21" s="20">
        <v>10</v>
      </c>
    </row>
    <row r="22" spans="1:5" ht="18" customHeight="1" x14ac:dyDescent="0.35">
      <c r="A22" s="6"/>
      <c r="B22" s="18" t="s">
        <v>46</v>
      </c>
      <c r="C22" s="19">
        <v>255</v>
      </c>
      <c r="D22" s="19">
        <v>255</v>
      </c>
      <c r="E22" s="20">
        <v>0</v>
      </c>
    </row>
    <row r="23" spans="1:5" ht="18" customHeight="1" x14ac:dyDescent="0.35">
      <c r="A23" s="6"/>
      <c r="B23" s="18" t="s">
        <v>47</v>
      </c>
      <c r="C23" s="19">
        <v>100</v>
      </c>
      <c r="D23" s="19">
        <v>100</v>
      </c>
      <c r="E23" s="20">
        <v>0</v>
      </c>
    </row>
    <row r="24" spans="1:5" ht="18" customHeight="1" x14ac:dyDescent="0.35">
      <c r="A24" s="6"/>
      <c r="B24" s="18" t="s">
        <v>48</v>
      </c>
      <c r="C24" s="19">
        <v>225</v>
      </c>
      <c r="D24" s="19">
        <v>225</v>
      </c>
      <c r="E24" s="20">
        <v>0</v>
      </c>
    </row>
    <row r="25" spans="1:5" ht="18" customHeight="1" x14ac:dyDescent="0.35">
      <c r="A25" s="6"/>
      <c r="B25" s="18" t="s">
        <v>49</v>
      </c>
      <c r="C25" s="19">
        <v>0</v>
      </c>
      <c r="D25" s="19">
        <v>0</v>
      </c>
      <c r="E25" s="20">
        <v>0</v>
      </c>
    </row>
    <row r="26" spans="1:5" ht="18" customHeight="1" x14ac:dyDescent="0.35">
      <c r="A26" s="6"/>
      <c r="B26" s="21" t="s">
        <v>7</v>
      </c>
      <c r="C26" s="22">
        <v>1933</v>
      </c>
      <c r="D26" s="22">
        <v>1945</v>
      </c>
      <c r="E26" s="22">
        <v>-12</v>
      </c>
    </row>
  </sheetData>
  <dataValidations count="9">
    <dataValidation allowBlank="1" showInputMessage="1" showErrorMessage="1" prompt="Enter details in Expense table in this worksheet for tracking Projected and Actual Monthly Expenses" sqref="A3" xr:uid="{73436623-CE00-462E-841D-FCB9CEB0C482}"/>
    <dataValidation allowBlank="1" showInputMessage="1" showErrorMessage="1" prompt="Name is automatically updated based on name entered in cell B1 in Cash Flow worksheet" sqref="B3" xr:uid="{B40FDCC4-FA90-4C74-9E39-858DB726CF19}"/>
    <dataValidation allowBlank="1" showInputMessage="1" showErrorMessage="1" prompt="Month is automatically updated based on month entered in cell B3 in Cash Flow worksheet" sqref="B6" xr:uid="{7456823F-33C8-49F7-AD93-11665EB8CADB}"/>
    <dataValidation allowBlank="1" showInputMessage="1" showErrorMessage="1" prompt="Year is automatically updated based on year entered in cell B4 in Cash Flow worksheet. Enter expense details in table below" sqref="B7:B8" xr:uid="{68589EC1-609C-4D86-8ABC-450812A49D85}"/>
    <dataValidation allowBlank="1" showInputMessage="1" showErrorMessage="1" prompt="Enter Monthly Expense items in this column under this heading. Use heading filters to find specific entries" sqref="B9" xr:uid="{5C2E12AE-47E7-43A6-9993-2F5AF38148B7}"/>
    <dataValidation allowBlank="1" showInputMessage="1" showErrorMessage="1" prompt="Enter Projected expense in this column under this heading" sqref="C9" xr:uid="{9A1C339F-5A75-41A1-8A0E-6A7518493CB9}"/>
    <dataValidation allowBlank="1" showInputMessage="1" showErrorMessage="1" prompt="Enter Actual expense in this column under this heading" sqref="D9" xr:uid="{866070D5-26A1-430C-BAF0-ECB0C9E2FCD2}"/>
    <dataValidation allowBlank="1" showInputMessage="1" showErrorMessage="1" prompt="Variance is automatically calculated, and icon is updated in this column under this heading" sqref="E9" xr:uid="{E69E85B7-FF25-400A-8B63-5D3CCF41CFAF}"/>
    <dataValidation allowBlank="1" showInputMessage="1" showErrorMessage="1" prompt="Title is automatically updated based on title entered in cell B2 in Cash Flow worksheet" sqref="B4:B5" xr:uid="{D03F88D0-251A-4672-80DA-6D8B098E3F49}"/>
  </dataValidations>
  <pageMargins left="0.7" right="0.7" top="0.75" bottom="0.75" header="0.3" footer="0.3"/>
  <pageSetup scale="82" fitToHeight="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EBB95-C086-4682-9A93-A0611A990EC9}">
  <dimension ref="A1:E7"/>
  <sheetViews>
    <sheetView workbookViewId="0">
      <selection activeCell="C32" sqref="C32"/>
    </sheetView>
  </sheetViews>
  <sheetFormatPr defaultRowHeight="13.2" x14ac:dyDescent="0.25"/>
  <cols>
    <col min="1" max="1" width="11.109375" customWidth="1"/>
    <col min="2" max="2" width="15.5546875" bestFit="1" customWidth="1"/>
    <col min="3" max="3" width="15.6640625" bestFit="1" customWidth="1"/>
    <col min="4" max="4" width="14.6640625" bestFit="1" customWidth="1"/>
    <col min="5" max="5" width="16" bestFit="1" customWidth="1"/>
  </cols>
  <sheetData>
    <row r="1" spans="1:5" ht="19.5" customHeight="1" x14ac:dyDescent="0.3">
      <c r="A1" s="43" t="s">
        <v>53</v>
      </c>
      <c r="B1" s="43"/>
      <c r="C1" s="43"/>
      <c r="D1" s="43"/>
      <c r="E1" s="43"/>
    </row>
    <row r="2" spans="1:5" ht="19.5" customHeight="1" x14ac:dyDescent="0.3">
      <c r="A2" s="25" t="s">
        <v>0</v>
      </c>
      <c r="B2" s="25" t="s">
        <v>54</v>
      </c>
      <c r="C2" s="25" t="s">
        <v>55</v>
      </c>
      <c r="D2" s="25" t="s">
        <v>56</v>
      </c>
      <c r="E2" s="25" t="s">
        <v>57</v>
      </c>
    </row>
    <row r="3" spans="1:5" ht="19.5" customHeight="1" x14ac:dyDescent="0.3">
      <c r="A3" s="26">
        <v>45662</v>
      </c>
      <c r="B3" s="27">
        <v>70</v>
      </c>
      <c r="C3" s="27">
        <v>55</v>
      </c>
      <c r="D3" s="27">
        <v>11</v>
      </c>
      <c r="E3" s="27">
        <v>32</v>
      </c>
    </row>
    <row r="4" spans="1:5" ht="19.5" customHeight="1" x14ac:dyDescent="0.3">
      <c r="A4" s="26">
        <v>45663</v>
      </c>
      <c r="B4" s="27">
        <v>120</v>
      </c>
      <c r="C4" s="27">
        <v>57</v>
      </c>
      <c r="D4" s="27">
        <v>12</v>
      </c>
      <c r="E4" s="27">
        <v>35</v>
      </c>
    </row>
    <row r="5" spans="1:5" ht="19.5" customHeight="1" x14ac:dyDescent="0.3">
      <c r="A5" s="26">
        <v>45664</v>
      </c>
      <c r="B5" s="27">
        <v>150</v>
      </c>
      <c r="C5" s="27">
        <v>57</v>
      </c>
      <c r="D5" s="27">
        <v>13</v>
      </c>
      <c r="E5" s="27">
        <v>34</v>
      </c>
    </row>
    <row r="6" spans="1:5" ht="19.5" customHeight="1" x14ac:dyDescent="0.3">
      <c r="A6" s="26">
        <v>45665</v>
      </c>
      <c r="B6" s="27">
        <v>135</v>
      </c>
      <c r="C6" s="27">
        <v>58</v>
      </c>
      <c r="D6" s="27">
        <v>11</v>
      </c>
      <c r="E6" s="27">
        <v>35</v>
      </c>
    </row>
    <row r="7" spans="1:5" ht="19.5" customHeight="1" x14ac:dyDescent="0.3">
      <c r="A7" s="26">
        <v>45666</v>
      </c>
      <c r="B7" s="27">
        <v>148</v>
      </c>
      <c r="C7" s="27">
        <v>58</v>
      </c>
      <c r="D7" s="27">
        <v>35</v>
      </c>
      <c r="E7" s="27">
        <v>43</v>
      </c>
    </row>
  </sheetData>
  <mergeCells count="1">
    <mergeCell ref="A1:E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A7483-E2DA-4334-A916-FD975498E44F}">
  <dimension ref="A1:C13"/>
  <sheetViews>
    <sheetView zoomScaleNormal="100" workbookViewId="0">
      <selection activeCell="G10" sqref="G10"/>
    </sheetView>
  </sheetViews>
  <sheetFormatPr defaultRowHeight="14.4" x14ac:dyDescent="0.3"/>
  <cols>
    <col min="1" max="1" width="14" style="28" bestFit="1" customWidth="1"/>
    <col min="2" max="2" width="12.88671875" style="28" bestFit="1" customWidth="1"/>
    <col min="3" max="3" width="20.88671875" style="28" bestFit="1" customWidth="1"/>
    <col min="4" max="16384" width="8.88671875" style="28"/>
  </cols>
  <sheetData>
    <row r="1" spans="1:3" ht="21" x14ac:dyDescent="0.4">
      <c r="A1" s="44" t="s">
        <v>75</v>
      </c>
      <c r="B1" s="44"/>
      <c r="C1" s="44"/>
    </row>
    <row r="2" spans="1:3" ht="17.399999999999999" x14ac:dyDescent="0.35">
      <c r="A2" s="31" t="s">
        <v>74</v>
      </c>
      <c r="B2" s="31" t="s">
        <v>4</v>
      </c>
      <c r="C2" s="31" t="s">
        <v>73</v>
      </c>
    </row>
    <row r="3" spans="1:3" x14ac:dyDescent="0.3">
      <c r="A3" s="30" t="s">
        <v>70</v>
      </c>
      <c r="B3" s="30" t="s">
        <v>72</v>
      </c>
      <c r="C3" s="29">
        <v>150</v>
      </c>
    </row>
    <row r="4" spans="1:3" x14ac:dyDescent="0.3">
      <c r="A4" s="30" t="s">
        <v>70</v>
      </c>
      <c r="B4" s="30" t="s">
        <v>71</v>
      </c>
      <c r="C4" s="29">
        <v>90</v>
      </c>
    </row>
    <row r="5" spans="1:3" x14ac:dyDescent="0.3">
      <c r="A5" s="30" t="s">
        <v>70</v>
      </c>
      <c r="B5" s="30" t="s">
        <v>69</v>
      </c>
      <c r="C5" s="29">
        <v>120</v>
      </c>
    </row>
    <row r="6" spans="1:3" x14ac:dyDescent="0.3">
      <c r="A6" s="30" t="s">
        <v>66</v>
      </c>
      <c r="B6" s="30" t="s">
        <v>68</v>
      </c>
      <c r="C6" s="29">
        <v>450</v>
      </c>
    </row>
    <row r="7" spans="1:3" x14ac:dyDescent="0.3">
      <c r="A7" s="30" t="s">
        <v>66</v>
      </c>
      <c r="B7" s="30" t="s">
        <v>67</v>
      </c>
      <c r="C7" s="29">
        <v>100</v>
      </c>
    </row>
    <row r="8" spans="1:3" x14ac:dyDescent="0.3">
      <c r="A8" s="30" t="s">
        <v>66</v>
      </c>
      <c r="B8" s="30" t="s">
        <v>65</v>
      </c>
      <c r="C8" s="29">
        <v>200</v>
      </c>
    </row>
    <row r="9" spans="1:3" x14ac:dyDescent="0.3">
      <c r="A9" s="30" t="s">
        <v>62</v>
      </c>
      <c r="B9" s="30" t="s">
        <v>64</v>
      </c>
      <c r="C9" s="29">
        <v>55</v>
      </c>
    </row>
    <row r="10" spans="1:3" x14ac:dyDescent="0.3">
      <c r="A10" s="30" t="s">
        <v>62</v>
      </c>
      <c r="B10" s="30" t="s">
        <v>63</v>
      </c>
      <c r="C10" s="29">
        <v>60</v>
      </c>
    </row>
    <row r="11" spans="1:3" x14ac:dyDescent="0.3">
      <c r="A11" s="30" t="s">
        <v>62</v>
      </c>
      <c r="B11" s="30" t="s">
        <v>61</v>
      </c>
      <c r="C11" s="29">
        <v>50</v>
      </c>
    </row>
    <row r="12" spans="1:3" x14ac:dyDescent="0.3">
      <c r="A12" s="30" t="s">
        <v>59</v>
      </c>
      <c r="B12" s="30" t="s">
        <v>60</v>
      </c>
      <c r="C12" s="29">
        <v>100</v>
      </c>
    </row>
    <row r="13" spans="1:3" x14ac:dyDescent="0.3">
      <c r="A13" s="30" t="s">
        <v>59</v>
      </c>
      <c r="B13" s="30" t="s">
        <v>58</v>
      </c>
      <c r="C13" s="29">
        <v>60</v>
      </c>
    </row>
  </sheetData>
  <mergeCells count="1">
    <mergeCell ref="A1:C1"/>
  </mergeCell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F412D-95F8-4E00-8FF4-F25F96E0452A}">
  <dimension ref="A1:E15"/>
  <sheetViews>
    <sheetView topLeftCell="A6" zoomScaleNormal="100" workbookViewId="0">
      <selection activeCell="G10" sqref="G10"/>
    </sheetView>
  </sheetViews>
  <sheetFormatPr defaultColWidth="9.109375" defaultRowHeight="15.6" x14ac:dyDescent="0.3"/>
  <cols>
    <col min="1" max="1" width="6.33203125" style="32" customWidth="1"/>
    <col min="2" max="2" width="15.109375" style="32" customWidth="1"/>
    <col min="3" max="3" width="14.5546875" style="32" customWidth="1"/>
    <col min="4" max="4" width="12" style="32" customWidth="1"/>
    <col min="5" max="5" width="14" style="32" customWidth="1"/>
    <col min="6" max="6" width="5.6640625" style="32" customWidth="1"/>
    <col min="7" max="7" width="6" style="32" customWidth="1"/>
    <col min="8" max="8" width="6.6640625" style="32" customWidth="1"/>
    <col min="9" max="9" width="9.109375" style="32" customWidth="1"/>
    <col min="10" max="16384" width="9.109375" style="32"/>
  </cols>
  <sheetData>
    <row r="1" spans="1:5" ht="24.75" customHeight="1" x14ac:dyDescent="0.3">
      <c r="A1" s="45" t="s">
        <v>81</v>
      </c>
      <c r="B1" s="45"/>
      <c r="C1" s="45"/>
      <c r="D1" s="45"/>
      <c r="E1" s="45"/>
    </row>
    <row r="2" spans="1:5" x14ac:dyDescent="0.3">
      <c r="A2" s="35" t="s">
        <v>80</v>
      </c>
      <c r="B2" s="34" t="s">
        <v>79</v>
      </c>
      <c r="C2" s="34" t="s">
        <v>78</v>
      </c>
      <c r="D2" s="34" t="s">
        <v>77</v>
      </c>
      <c r="E2" s="34" t="s">
        <v>76</v>
      </c>
    </row>
    <row r="3" spans="1:5" x14ac:dyDescent="0.3">
      <c r="A3" s="33">
        <v>2001</v>
      </c>
      <c r="B3" s="33">
        <v>45</v>
      </c>
      <c r="C3" s="33">
        <v>51</v>
      </c>
      <c r="D3" s="33">
        <v>115</v>
      </c>
      <c r="E3" s="33">
        <v>60</v>
      </c>
    </row>
    <row r="4" spans="1:5" x14ac:dyDescent="0.3">
      <c r="A4" s="33">
        <v>2002</v>
      </c>
      <c r="B4" s="33">
        <v>50</v>
      </c>
      <c r="C4" s="33">
        <v>55</v>
      </c>
      <c r="D4" s="33">
        <v>95</v>
      </c>
      <c r="E4" s="33">
        <v>65</v>
      </c>
    </row>
    <row r="5" spans="1:5" x14ac:dyDescent="0.3">
      <c r="A5" s="33">
        <v>2003</v>
      </c>
      <c r="B5" s="33">
        <v>55</v>
      </c>
      <c r="C5" s="33">
        <v>58</v>
      </c>
      <c r="D5" s="33">
        <v>90</v>
      </c>
      <c r="E5" s="33">
        <v>68</v>
      </c>
    </row>
    <row r="6" spans="1:5" x14ac:dyDescent="0.3">
      <c r="A6" s="33">
        <v>2004</v>
      </c>
      <c r="B6" s="33">
        <v>60</v>
      </c>
      <c r="C6" s="33">
        <v>62</v>
      </c>
      <c r="D6" s="33">
        <v>85</v>
      </c>
      <c r="E6" s="33">
        <v>73</v>
      </c>
    </row>
    <row r="7" spans="1:5" x14ac:dyDescent="0.3">
      <c r="A7" s="33">
        <v>2005</v>
      </c>
      <c r="B7" s="33">
        <v>65</v>
      </c>
      <c r="C7" s="33">
        <v>67</v>
      </c>
      <c r="D7" s="33">
        <v>80</v>
      </c>
      <c r="E7" s="33">
        <v>77</v>
      </c>
    </row>
    <row r="8" spans="1:5" x14ac:dyDescent="0.3">
      <c r="A8" s="33">
        <v>2006</v>
      </c>
      <c r="B8" s="33">
        <v>70</v>
      </c>
      <c r="C8" s="33">
        <v>69</v>
      </c>
      <c r="D8" s="33">
        <v>75</v>
      </c>
      <c r="E8" s="33">
        <v>81</v>
      </c>
    </row>
    <row r="9" spans="1:5" x14ac:dyDescent="0.3">
      <c r="A9" s="33">
        <v>2007</v>
      </c>
      <c r="B9" s="33">
        <v>75</v>
      </c>
      <c r="C9" s="33">
        <v>72</v>
      </c>
      <c r="D9" s="33">
        <v>70</v>
      </c>
      <c r="E9" s="33">
        <v>86</v>
      </c>
    </row>
    <row r="10" spans="1:5" x14ac:dyDescent="0.3">
      <c r="A10" s="33">
        <v>2008</v>
      </c>
      <c r="B10" s="33">
        <v>80</v>
      </c>
      <c r="C10" s="33">
        <v>78</v>
      </c>
      <c r="D10" s="33">
        <v>65</v>
      </c>
      <c r="E10" s="33">
        <v>89</v>
      </c>
    </row>
    <row r="11" spans="1:5" x14ac:dyDescent="0.3">
      <c r="A11" s="33">
        <v>2009</v>
      </c>
      <c r="B11" s="33">
        <v>85</v>
      </c>
      <c r="C11" s="33">
        <v>82</v>
      </c>
      <c r="D11" s="33">
        <v>60</v>
      </c>
      <c r="E11" s="33">
        <v>94</v>
      </c>
    </row>
    <row r="12" spans="1:5" x14ac:dyDescent="0.3">
      <c r="A12" s="33">
        <v>2010</v>
      </c>
      <c r="B12" s="33">
        <v>90</v>
      </c>
      <c r="C12" s="33">
        <v>88</v>
      </c>
      <c r="D12" s="33">
        <v>55</v>
      </c>
      <c r="E12" s="33">
        <v>99</v>
      </c>
    </row>
    <row r="13" spans="1:5" x14ac:dyDescent="0.3">
      <c r="A13" s="33">
        <v>2011</v>
      </c>
      <c r="B13" s="33">
        <v>95</v>
      </c>
      <c r="C13" s="33">
        <v>92</v>
      </c>
      <c r="D13" s="33">
        <v>50</v>
      </c>
      <c r="E13" s="33">
        <v>102</v>
      </c>
    </row>
    <row r="14" spans="1:5" x14ac:dyDescent="0.3">
      <c r="A14" s="33">
        <v>2012</v>
      </c>
      <c r="B14" s="33">
        <v>100</v>
      </c>
      <c r="C14" s="33">
        <v>98</v>
      </c>
      <c r="D14" s="33">
        <v>45</v>
      </c>
      <c r="E14" s="33">
        <v>108</v>
      </c>
    </row>
    <row r="15" spans="1:5" x14ac:dyDescent="0.3">
      <c r="A15" s="33">
        <v>2013</v>
      </c>
      <c r="B15" s="33">
        <v>30</v>
      </c>
      <c r="C15" s="33">
        <v>110</v>
      </c>
      <c r="D15" s="33">
        <v>40</v>
      </c>
      <c r="E15" s="33">
        <v>105</v>
      </c>
    </row>
  </sheetData>
  <mergeCells count="1">
    <mergeCell ref="A1:E1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BC2DC-33E6-46B6-A08D-055667751FA2}">
  <dimension ref="A1:B9"/>
  <sheetViews>
    <sheetView zoomScaleNormal="100" workbookViewId="0">
      <selection activeCell="G10" sqref="G10"/>
    </sheetView>
  </sheetViews>
  <sheetFormatPr defaultRowHeight="14.4" x14ac:dyDescent="0.3"/>
  <cols>
    <col min="1" max="1" width="27.5546875" style="28" customWidth="1"/>
    <col min="2" max="2" width="18.88671875" style="28" customWidth="1"/>
    <col min="3" max="3" width="1" style="28" customWidth="1"/>
    <col min="4" max="4" width="18.44140625" style="28" customWidth="1"/>
    <col min="5" max="5" width="19.21875" style="28" customWidth="1"/>
    <col min="6" max="16384" width="8.88671875" style="28"/>
  </cols>
  <sheetData>
    <row r="1" spans="1:2" ht="27" customHeight="1" x14ac:dyDescent="0.3">
      <c r="A1" s="46" t="s">
        <v>89</v>
      </c>
      <c r="B1" s="46"/>
    </row>
    <row r="2" spans="1:2" ht="18" x14ac:dyDescent="0.35">
      <c r="A2" s="38" t="s">
        <v>74</v>
      </c>
      <c r="B2" s="38" t="s">
        <v>73</v>
      </c>
    </row>
    <row r="3" spans="1:2" ht="18" x14ac:dyDescent="0.35">
      <c r="A3" s="37" t="s">
        <v>88</v>
      </c>
      <c r="B3" s="36">
        <v>12000</v>
      </c>
    </row>
    <row r="4" spans="1:2" ht="18" x14ac:dyDescent="0.35">
      <c r="A4" s="37" t="s">
        <v>87</v>
      </c>
      <c r="B4" s="36">
        <v>3500</v>
      </c>
    </row>
    <row r="5" spans="1:2" ht="18" x14ac:dyDescent="0.35">
      <c r="A5" s="37" t="s">
        <v>86</v>
      </c>
      <c r="B5" s="36">
        <v>4200</v>
      </c>
    </row>
    <row r="6" spans="1:2" ht="18" x14ac:dyDescent="0.35">
      <c r="A6" s="37" t="s">
        <v>85</v>
      </c>
      <c r="B6" s="36">
        <v>8600</v>
      </c>
    </row>
    <row r="7" spans="1:2" ht="18" x14ac:dyDescent="0.35">
      <c r="A7" s="37" t="s">
        <v>84</v>
      </c>
      <c r="B7" s="36">
        <v>2300</v>
      </c>
    </row>
    <row r="8" spans="1:2" ht="18" x14ac:dyDescent="0.35">
      <c r="A8" s="37" t="s">
        <v>83</v>
      </c>
      <c r="B8" s="36">
        <v>1200</v>
      </c>
    </row>
    <row r="9" spans="1:2" ht="18" x14ac:dyDescent="0.35">
      <c r="A9" s="37" t="s">
        <v>82</v>
      </c>
      <c r="B9" s="36">
        <v>1000</v>
      </c>
    </row>
  </sheetData>
  <mergeCells count="1">
    <mergeCell ref="A1:B1"/>
  </mergeCells>
  <pageMargins left="0.7" right="0.7" top="0.75" bottom="0.75" header="0.3" footer="0.3"/>
  <pageSetup fitToWidth="0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8804A-1A2F-440A-AB6A-E2392B9EC3F3}">
  <dimension ref="A1:B10"/>
  <sheetViews>
    <sheetView zoomScaleNormal="100" workbookViewId="0">
      <selection activeCell="G10" sqref="G10"/>
    </sheetView>
  </sheetViews>
  <sheetFormatPr defaultRowHeight="14.4" x14ac:dyDescent="0.3"/>
  <cols>
    <col min="1" max="1" width="18.33203125" style="28" bestFit="1" customWidth="1"/>
    <col min="2" max="2" width="19.88671875" style="28" customWidth="1"/>
    <col min="3" max="16384" width="8.88671875" style="28"/>
  </cols>
  <sheetData>
    <row r="1" spans="1:2" ht="26.4" customHeight="1" x14ac:dyDescent="0.3">
      <c r="A1" s="47" t="s">
        <v>97</v>
      </c>
      <c r="B1" s="47"/>
    </row>
    <row r="2" spans="1:2" ht="15.6" x14ac:dyDescent="0.3">
      <c r="A2" s="41" t="s">
        <v>96</v>
      </c>
      <c r="B2" s="41" t="s">
        <v>95</v>
      </c>
    </row>
    <row r="3" spans="1:2" ht="15.6" x14ac:dyDescent="0.3">
      <c r="A3" s="33" t="s">
        <v>94</v>
      </c>
      <c r="B3" s="40">
        <v>100000</v>
      </c>
    </row>
    <row r="4" spans="1:2" ht="15.6" x14ac:dyDescent="0.3">
      <c r="A4" s="33" t="s">
        <v>52</v>
      </c>
      <c r="B4" s="40">
        <v>150000</v>
      </c>
    </row>
    <row r="5" spans="1:2" ht="15.6" x14ac:dyDescent="0.3">
      <c r="A5" s="33" t="s">
        <v>93</v>
      </c>
      <c r="B5" s="40">
        <v>-50000</v>
      </c>
    </row>
    <row r="6" spans="1:2" ht="15.6" x14ac:dyDescent="0.3">
      <c r="A6" s="33" t="s">
        <v>92</v>
      </c>
      <c r="B6" s="40">
        <v>160000</v>
      </c>
    </row>
    <row r="7" spans="1:2" ht="15.6" x14ac:dyDescent="0.3">
      <c r="A7" s="33" t="s">
        <v>91</v>
      </c>
      <c r="B7" s="40">
        <v>-60000</v>
      </c>
    </row>
    <row r="8" spans="1:2" ht="15.6" x14ac:dyDescent="0.3">
      <c r="A8" s="33" t="s">
        <v>90</v>
      </c>
      <c r="B8" s="40">
        <v>300000</v>
      </c>
    </row>
    <row r="9" spans="1:2" ht="15.6" x14ac:dyDescent="0.3">
      <c r="A9" s="32"/>
      <c r="B9" s="39"/>
    </row>
    <row r="10" spans="1:2" ht="15.6" x14ac:dyDescent="0.3">
      <c r="A10" s="32"/>
      <c r="B10" s="39"/>
    </row>
  </sheetData>
  <mergeCells count="1">
    <mergeCell ref="A1:B1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87BE-5B93-4F19-AB7A-4AC8440D5C43}">
  <dimension ref="A1:C14"/>
  <sheetViews>
    <sheetView zoomScaleNormal="100" zoomScalePageLayoutView="52" workbookViewId="0">
      <selection activeCell="G10" sqref="G10"/>
    </sheetView>
  </sheetViews>
  <sheetFormatPr defaultRowHeight="14.4" x14ac:dyDescent="0.3"/>
  <cols>
    <col min="1" max="1" width="16.109375" style="28" customWidth="1"/>
    <col min="2" max="2" width="15.33203125" style="28" customWidth="1"/>
    <col min="3" max="3" width="25.33203125" style="28" customWidth="1"/>
    <col min="4" max="16384" width="8.88671875" style="28"/>
  </cols>
  <sheetData>
    <row r="1" spans="1:3" ht="24" customHeight="1" x14ac:dyDescent="0.4">
      <c r="A1" s="44" t="s">
        <v>118</v>
      </c>
      <c r="B1" s="44"/>
      <c r="C1" s="44"/>
    </row>
    <row r="2" spans="1:3" ht="18.899999999999999" customHeight="1" x14ac:dyDescent="0.35">
      <c r="A2" s="31" t="s">
        <v>117</v>
      </c>
      <c r="B2" s="31" t="s">
        <v>116</v>
      </c>
      <c r="C2" s="31" t="s">
        <v>115</v>
      </c>
    </row>
    <row r="3" spans="1:3" ht="15.6" x14ac:dyDescent="0.3">
      <c r="A3" s="33" t="s">
        <v>112</v>
      </c>
      <c r="B3" s="33" t="s">
        <v>114</v>
      </c>
      <c r="C3" s="33">
        <v>237</v>
      </c>
    </row>
    <row r="4" spans="1:3" ht="15.6" x14ac:dyDescent="0.3">
      <c r="A4" s="33" t="s">
        <v>112</v>
      </c>
      <c r="B4" s="33" t="s">
        <v>113</v>
      </c>
      <c r="C4" s="33">
        <v>152</v>
      </c>
    </row>
    <row r="5" spans="1:3" ht="15.6" x14ac:dyDescent="0.3">
      <c r="A5" s="33" t="s">
        <v>112</v>
      </c>
      <c r="B5" s="33" t="s">
        <v>111</v>
      </c>
      <c r="C5" s="33">
        <v>49</v>
      </c>
    </row>
    <row r="6" spans="1:3" ht="15.6" x14ac:dyDescent="0.3">
      <c r="A6" s="33" t="s">
        <v>108</v>
      </c>
      <c r="B6" s="33" t="s">
        <v>110</v>
      </c>
      <c r="C6" s="33">
        <v>278</v>
      </c>
    </row>
    <row r="7" spans="1:3" ht="15.6" x14ac:dyDescent="0.3">
      <c r="A7" s="33" t="s">
        <v>108</v>
      </c>
      <c r="B7" s="33" t="s">
        <v>109</v>
      </c>
      <c r="C7" s="33">
        <v>55</v>
      </c>
    </row>
    <row r="8" spans="1:3" ht="15.6" x14ac:dyDescent="0.3">
      <c r="A8" s="33" t="s">
        <v>108</v>
      </c>
      <c r="B8" s="33" t="s">
        <v>107</v>
      </c>
      <c r="C8" s="33">
        <v>112</v>
      </c>
    </row>
    <row r="9" spans="1:3" ht="15.6" x14ac:dyDescent="0.3">
      <c r="A9" s="33" t="s">
        <v>105</v>
      </c>
      <c r="B9" s="33" t="s">
        <v>106</v>
      </c>
      <c r="C9" s="33">
        <v>67</v>
      </c>
    </row>
    <row r="10" spans="1:3" ht="15.6" x14ac:dyDescent="0.3">
      <c r="A10" s="33" t="s">
        <v>105</v>
      </c>
      <c r="B10" s="33" t="s">
        <v>104</v>
      </c>
      <c r="C10" s="33">
        <v>153</v>
      </c>
    </row>
    <row r="11" spans="1:3" ht="15.6" x14ac:dyDescent="0.3">
      <c r="A11" s="33" t="s">
        <v>102</v>
      </c>
      <c r="B11" s="33" t="s">
        <v>103</v>
      </c>
      <c r="C11" s="33">
        <v>150</v>
      </c>
    </row>
    <row r="12" spans="1:3" ht="15.6" x14ac:dyDescent="0.3">
      <c r="A12" s="33" t="s">
        <v>102</v>
      </c>
      <c r="B12" s="33" t="s">
        <v>101</v>
      </c>
      <c r="C12" s="33">
        <v>83</v>
      </c>
    </row>
    <row r="13" spans="1:3" ht="15.6" x14ac:dyDescent="0.3">
      <c r="A13" s="33" t="s">
        <v>99</v>
      </c>
      <c r="B13" s="33" t="s">
        <v>100</v>
      </c>
      <c r="C13" s="33">
        <v>87</v>
      </c>
    </row>
    <row r="14" spans="1:3" ht="15.6" x14ac:dyDescent="0.3">
      <c r="A14" s="33" t="s">
        <v>99</v>
      </c>
      <c r="B14" s="33" t="s">
        <v>98</v>
      </c>
      <c r="C14" s="33">
        <v>65</v>
      </c>
    </row>
  </sheetData>
  <mergeCells count="1">
    <mergeCell ref="A1:C1"/>
  </mergeCells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7BF67-09AB-4118-8D34-C912B1C61BAC}">
  <dimension ref="A1:B7"/>
  <sheetViews>
    <sheetView tabSelected="1" topLeftCell="A5" zoomScaleNormal="100" workbookViewId="0">
      <selection activeCell="L15" sqref="L15"/>
    </sheetView>
  </sheetViews>
  <sheetFormatPr defaultRowHeight="14.4" x14ac:dyDescent="0.3"/>
  <cols>
    <col min="1" max="1" width="27.5546875" style="48" customWidth="1"/>
    <col min="2" max="2" width="18.88671875" style="48" customWidth="1"/>
    <col min="3" max="3" width="1" style="48" customWidth="1"/>
    <col min="4" max="4" width="18.44140625" style="48" customWidth="1"/>
    <col min="5" max="5" width="19.21875" style="48" customWidth="1"/>
    <col min="6" max="16384" width="8.88671875" style="48"/>
  </cols>
  <sheetData>
    <row r="1" spans="1:2" s="48" customFormat="1" ht="27" customHeight="1" x14ac:dyDescent="0.3">
      <c r="A1" s="52" t="s">
        <v>125</v>
      </c>
      <c r="B1" s="52"/>
    </row>
    <row r="2" spans="1:2" s="48" customFormat="1" ht="18" x14ac:dyDescent="0.35">
      <c r="A2" s="51" t="s">
        <v>124</v>
      </c>
      <c r="B2" s="51" t="s">
        <v>73</v>
      </c>
    </row>
    <row r="3" spans="1:2" s="48" customFormat="1" ht="18" x14ac:dyDescent="0.35">
      <c r="A3" s="50" t="s">
        <v>123</v>
      </c>
      <c r="B3" s="49">
        <v>17000</v>
      </c>
    </row>
    <row r="4" spans="1:2" s="48" customFormat="1" ht="18" x14ac:dyDescent="0.35">
      <c r="A4" s="50" t="s">
        <v>122</v>
      </c>
      <c r="B4" s="49">
        <v>3500</v>
      </c>
    </row>
    <row r="5" spans="1:2" s="48" customFormat="1" ht="18" x14ac:dyDescent="0.35">
      <c r="A5" s="50" t="s">
        <v>121</v>
      </c>
      <c r="B5" s="49">
        <v>5800</v>
      </c>
    </row>
    <row r="6" spans="1:2" s="48" customFormat="1" ht="18" x14ac:dyDescent="0.35">
      <c r="A6" s="50" t="s">
        <v>120</v>
      </c>
      <c r="B6" s="49">
        <v>8600</v>
      </c>
    </row>
    <row r="7" spans="1:2" s="48" customFormat="1" ht="18" x14ac:dyDescent="0.35">
      <c r="A7" s="50" t="s">
        <v>119</v>
      </c>
      <c r="B7" s="49">
        <v>1000</v>
      </c>
    </row>
  </sheetData>
  <mergeCells count="1">
    <mergeCell ref="A1:B1"/>
  </mergeCells>
  <pageMargins left="0.7" right="0.7" top="0.75" bottom="0.75" header="0.3" footer="0.3"/>
  <pageSetup fitToWidth="0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9DB5E-ED90-49F1-BC6E-C4DE86BEDCE9}">
  <dimension ref="A1"/>
  <sheetViews>
    <sheetView view="pageLayout" zoomScaleNormal="100" workbookViewId="0">
      <selection activeCell="I19" sqref="I19"/>
    </sheetView>
  </sheetViews>
  <sheetFormatPr defaultColWidth="8.88671875" defaultRowHeight="13.2" x14ac:dyDescent="0.25"/>
  <cols>
    <col min="1" max="16384" width="8.88671875" style="24"/>
  </cols>
  <sheetData/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Data</vt:lpstr>
      <vt:lpstr>PivotTable</vt:lpstr>
      <vt:lpstr>Auto Shapes</vt:lpstr>
      <vt:lpstr>Chart</vt:lpstr>
      <vt:lpstr>Stock chart</vt:lpstr>
      <vt:lpstr>SunBurst</vt:lpstr>
      <vt:lpstr>BoxWhiskerChart</vt:lpstr>
      <vt:lpstr>PieOfPie</vt:lpstr>
      <vt:lpstr>Waterfall</vt:lpstr>
      <vt:lpstr>Tree Map</vt:lpstr>
      <vt:lpstr>BarOfPie</vt:lpstr>
      <vt:lpstr>EMF image</vt:lpstr>
      <vt:lpstr>Data!Print_Titles</vt:lpstr>
    </vt:vector>
  </TitlesOfParts>
  <Company>JaxWorks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Cash Flow 4 Yrs Quarterly</dc:title>
  <dc:creator>Syncfusion</dc:creator>
  <dc:description>© Copyright, 2010, Jaxworks, All Rights Reserved.</dc:description>
  <cp:lastModifiedBy>Alex Harson James Henso</cp:lastModifiedBy>
  <cp:lastPrinted>2024-08-20T14:39:04Z</cp:lastPrinted>
  <dcterms:created xsi:type="dcterms:W3CDTF">2004-04-05T14:24:17Z</dcterms:created>
  <dcterms:modified xsi:type="dcterms:W3CDTF">2026-02-18T11:19:43Z</dcterms:modified>
</cp:coreProperties>
</file>